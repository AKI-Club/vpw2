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defaultThemeVersion="202300"/>
  <mc:AlternateContent xmlns:mc="http://schemas.openxmlformats.org/markup-compatibility/2006">
    <mc:Choice Requires="x15">
      <x15ac:absPath xmlns:x15ac="http://schemas.microsoft.com/office/spreadsheetml/2010/11/ac" url="https://d.docs.live.net/856065e09543af0c/Documents/"/>
    </mc:Choice>
  </mc:AlternateContent>
  <xr:revisionPtr revIDLastSave="1227" documentId="11_8F6D32987E347DC0F26153835DAA417F6B95A86E" xr6:coauthVersionLast="47" xr6:coauthVersionMax="47" xr10:uidLastSave="{B09B1E50-C43E-4133-85C7-EAE8CFBD1DC3}"/>
  <bookViews>
    <workbookView xWindow="-120" yWindow="-120" windowWidth="29040" windowHeight="15720" tabRatio="606" xr2:uid="{00000000-000D-0000-FFFF-FFFF00000000}"/>
  </bookViews>
  <sheets>
    <sheet name="MAP" sheetId="1" r:id="rId1"/>
    <sheet name="0x6F Player Status" sheetId="32" r:id="rId2"/>
    <sheet name="Controller Inputs" sheetId="30" r:id="rId3"/>
    <sheet name="0x5A Dash Status" sheetId="31" r:id="rId4"/>
    <sheet name="P1 Model, Tex and Pal Data" sheetId="26" r:id="rId5"/>
    <sheet name="Menu Tiles" sheetId="29" r:id="rId6"/>
    <sheet name="Intro Cameras" sheetId="25" r:id="rId7"/>
    <sheet name="Menus" sheetId="2" r:id="rId8"/>
    <sheet name="Broad Action" sheetId="3" r:id="rId9"/>
    <sheet name="Sounds" sheetId="4" r:id="rId10"/>
    <sheet name="Current Match or Menu Type A416" sheetId="5" r:id="rId11"/>
    <sheet name="Wrestler ID" sheetId="6" r:id="rId12"/>
    <sheet name="Player Status" sheetId="7" r:id="rId13"/>
    <sheet name="KRS Match Types" sheetId="8" r:id="rId14"/>
    <sheet name="Weapon Graphics" sheetId="9" r:id="rId15"/>
    <sheet name="Post Match Comments" sheetId="10" r:id="rId16"/>
    <sheet name="English Text input" sheetId="11" r:id="rId17"/>
    <sheet name="Player Parameter Options" sheetId="12" r:id="rId18"/>
    <sheet name="Textures" sheetId="13" r:id="rId19"/>
    <sheet name="Move Links" sheetId="14" r:id="rId20"/>
    <sheet name="Current Menu" sheetId="15" r:id="rId21"/>
    <sheet name="Grapple Status Bitfield" sheetId="16" r:id="rId22"/>
    <sheet name="AI Actions" sheetId="17" r:id="rId23"/>
    <sheet name="Tag Cut Play Offset 72" sheetId="18" r:id="rId24"/>
    <sheet name="Match Settings" sheetId="19" r:id="rId25"/>
    <sheet name="Location and Status" sheetId="20" r:id="rId26"/>
    <sheet name="Toki1 Sound FX" sheetId="21" r:id="rId27"/>
    <sheet name="FX Sounds" sheetId="22" r:id="rId28"/>
    <sheet name="KRS Mode" sheetId="23" r:id="rId29"/>
    <sheet name="Toki2 first value" sheetId="24" r:id="rId30"/>
    <sheet name="Facepaint and Accessory" sheetId="27" r:id="rId31"/>
    <sheet name="Sheet2" sheetId="28" r:id="rId3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3" i="26" l="1"/>
  <c r="D4" i="26"/>
  <c r="D5" i="26"/>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2" i="26"/>
  <c r="A2" i="26"/>
  <c r="B2" i="26" s="1"/>
  <c r="J133" i="10"/>
  <c r="L132" i="10"/>
  <c r="K132" i="10"/>
  <c r="J132" i="10"/>
  <c r="I132" i="10"/>
  <c r="L131" i="10"/>
  <c r="K131" i="10"/>
  <c r="J131" i="10"/>
  <c r="I131" i="10"/>
  <c r="L130" i="10"/>
  <c r="K130" i="10"/>
  <c r="J130" i="10"/>
  <c r="I130" i="10"/>
  <c r="L129" i="10"/>
  <c r="K129" i="10"/>
  <c r="J129" i="10"/>
  <c r="I129" i="10"/>
  <c r="L128" i="10"/>
  <c r="K128" i="10"/>
  <c r="J128" i="10"/>
  <c r="I128" i="10"/>
  <c r="L127" i="10"/>
  <c r="K127" i="10"/>
  <c r="J127" i="10"/>
  <c r="I127" i="10"/>
  <c r="L126" i="10"/>
  <c r="K126" i="10"/>
  <c r="J126" i="10"/>
  <c r="I126" i="10"/>
  <c r="L125" i="10"/>
  <c r="K125" i="10"/>
  <c r="J125" i="10"/>
  <c r="I125" i="10"/>
  <c r="L124" i="10"/>
  <c r="K124" i="10"/>
  <c r="J124" i="10"/>
  <c r="I124" i="10"/>
  <c r="L123" i="10"/>
  <c r="K123" i="10"/>
  <c r="J123" i="10"/>
  <c r="I123" i="10"/>
  <c r="L122" i="10"/>
  <c r="K122" i="10"/>
  <c r="J122" i="10"/>
  <c r="I122" i="10"/>
  <c r="L121" i="10"/>
  <c r="K121" i="10"/>
  <c r="J121" i="10"/>
  <c r="I121" i="10"/>
  <c r="L120" i="10"/>
  <c r="K120" i="10"/>
  <c r="J120" i="10"/>
  <c r="I120" i="10"/>
  <c r="L119" i="10"/>
  <c r="K119" i="10"/>
  <c r="J119" i="10"/>
  <c r="I119" i="10"/>
  <c r="L118" i="10"/>
  <c r="K118" i="10"/>
  <c r="J118" i="10"/>
  <c r="I118" i="10"/>
  <c r="L117" i="10"/>
  <c r="K117" i="10"/>
  <c r="J117" i="10"/>
  <c r="I117" i="10"/>
  <c r="L116" i="10"/>
  <c r="K116" i="10"/>
  <c r="J116" i="10"/>
  <c r="I116" i="10"/>
  <c r="L115" i="10"/>
  <c r="K115" i="10"/>
  <c r="J115" i="10"/>
  <c r="I115" i="10"/>
  <c r="L114" i="10"/>
  <c r="K114" i="10"/>
  <c r="J114" i="10"/>
  <c r="I114" i="10"/>
  <c r="L113" i="10"/>
  <c r="K113" i="10"/>
  <c r="J113" i="10"/>
  <c r="I113" i="10"/>
  <c r="L112" i="10"/>
  <c r="K112" i="10"/>
  <c r="J112" i="10"/>
  <c r="I112" i="10"/>
  <c r="L111" i="10"/>
  <c r="K111" i="10"/>
  <c r="J111" i="10"/>
  <c r="I111" i="10"/>
  <c r="L110" i="10"/>
  <c r="K110" i="10"/>
  <c r="J110" i="10"/>
  <c r="I110" i="10"/>
  <c r="L109" i="10"/>
  <c r="K109" i="10"/>
  <c r="J109" i="10"/>
  <c r="I109" i="10"/>
  <c r="L108" i="10"/>
  <c r="K108" i="10"/>
  <c r="J108" i="10"/>
  <c r="I108" i="10"/>
  <c r="L107" i="10"/>
  <c r="K107" i="10"/>
  <c r="J107" i="10"/>
  <c r="I107" i="10"/>
  <c r="L106" i="10"/>
  <c r="K106" i="10"/>
  <c r="J106" i="10"/>
  <c r="I106" i="10"/>
  <c r="L105" i="10"/>
  <c r="K105" i="10"/>
  <c r="J105" i="10"/>
  <c r="I105" i="10"/>
  <c r="L104" i="10"/>
  <c r="K104" i="10"/>
  <c r="J104" i="10"/>
  <c r="I104" i="10"/>
  <c r="L103" i="10"/>
  <c r="K103" i="10"/>
  <c r="J103" i="10"/>
  <c r="I103" i="10"/>
  <c r="L102" i="10"/>
  <c r="K102" i="10"/>
  <c r="J102" i="10"/>
  <c r="I102" i="10"/>
  <c r="L101" i="10"/>
  <c r="K101" i="10"/>
  <c r="J101" i="10"/>
  <c r="I101" i="10"/>
  <c r="L100" i="10"/>
  <c r="K100" i="10"/>
  <c r="J100" i="10"/>
  <c r="I100" i="10"/>
  <c r="L99" i="10"/>
  <c r="K99" i="10"/>
  <c r="J99" i="10"/>
  <c r="I99" i="10"/>
  <c r="L98" i="10"/>
  <c r="K98" i="10"/>
  <c r="J98" i="10"/>
  <c r="I98" i="10"/>
  <c r="L97" i="10"/>
  <c r="K97" i="10"/>
  <c r="J97" i="10"/>
  <c r="I97" i="10"/>
  <c r="L96" i="10"/>
  <c r="K96" i="10"/>
  <c r="J96" i="10"/>
  <c r="I96" i="10"/>
  <c r="L95" i="10"/>
  <c r="K95" i="10"/>
  <c r="J95" i="10"/>
  <c r="I95" i="10"/>
  <c r="L94" i="10"/>
  <c r="K94" i="10"/>
  <c r="J94" i="10"/>
  <c r="I94" i="10"/>
  <c r="L93" i="10"/>
  <c r="K93" i="10"/>
  <c r="J93" i="10"/>
  <c r="I93" i="10"/>
  <c r="L92" i="10"/>
  <c r="K92" i="10"/>
  <c r="J92" i="10"/>
  <c r="I92" i="10"/>
  <c r="L91" i="10"/>
  <c r="K91" i="10"/>
  <c r="J91" i="10"/>
  <c r="I91" i="10"/>
  <c r="L90" i="10"/>
  <c r="K90" i="10"/>
  <c r="J90" i="10"/>
  <c r="I90" i="10"/>
  <c r="L89" i="10"/>
  <c r="K89" i="10"/>
  <c r="J89" i="10"/>
  <c r="I89" i="10"/>
  <c r="L88" i="10"/>
  <c r="K88" i="10"/>
  <c r="J88" i="10"/>
  <c r="I88" i="10"/>
  <c r="L87" i="10"/>
  <c r="K87" i="10"/>
  <c r="J87" i="10"/>
  <c r="I87" i="10"/>
  <c r="L86" i="10"/>
  <c r="K86" i="10"/>
  <c r="J86" i="10"/>
  <c r="I86" i="10"/>
  <c r="L85" i="10"/>
  <c r="K85" i="10"/>
  <c r="J85" i="10"/>
  <c r="I85" i="10"/>
  <c r="L84" i="10"/>
  <c r="K84" i="10"/>
  <c r="J84" i="10"/>
  <c r="I84" i="10"/>
  <c r="L83" i="10"/>
  <c r="K83" i="10"/>
  <c r="J83" i="10"/>
  <c r="I83" i="10"/>
  <c r="L82" i="10"/>
  <c r="K82" i="10"/>
  <c r="J82" i="10"/>
  <c r="I82" i="10"/>
  <c r="L81" i="10"/>
  <c r="K81" i="10"/>
  <c r="J81" i="10"/>
  <c r="I81" i="10"/>
  <c r="L80" i="10"/>
  <c r="K80" i="10"/>
  <c r="J80" i="10"/>
  <c r="I80" i="10"/>
  <c r="L79" i="10"/>
  <c r="K79" i="10"/>
  <c r="J79" i="10"/>
  <c r="I79" i="10"/>
  <c r="L78" i="10"/>
  <c r="K78" i="10"/>
  <c r="J78" i="10"/>
  <c r="I78" i="10"/>
  <c r="L77" i="10"/>
  <c r="K77" i="10"/>
  <c r="J77" i="10"/>
  <c r="I77" i="10"/>
  <c r="L76" i="10"/>
  <c r="K76" i="10"/>
  <c r="J76" i="10"/>
  <c r="I76" i="10"/>
  <c r="L75" i="10"/>
  <c r="K75" i="10"/>
  <c r="J75" i="10"/>
  <c r="I75" i="10"/>
  <c r="L74" i="10"/>
  <c r="K74" i="10"/>
  <c r="J74" i="10"/>
  <c r="I74" i="10"/>
  <c r="L73" i="10"/>
  <c r="K73" i="10"/>
  <c r="J73" i="10"/>
  <c r="I73" i="10"/>
  <c r="L72" i="10"/>
  <c r="K72" i="10"/>
  <c r="J72" i="10"/>
  <c r="I72" i="10"/>
  <c r="L71" i="10"/>
  <c r="K71" i="10"/>
  <c r="J71" i="10"/>
  <c r="I71" i="10"/>
  <c r="L70" i="10"/>
  <c r="K70" i="10"/>
  <c r="J70" i="10"/>
  <c r="I70" i="10"/>
  <c r="L69" i="10"/>
  <c r="K69" i="10"/>
  <c r="J69" i="10"/>
  <c r="I69" i="10"/>
  <c r="L68" i="10"/>
  <c r="K68" i="10"/>
  <c r="J68" i="10"/>
  <c r="I68" i="10"/>
  <c r="L67" i="10"/>
  <c r="K67" i="10"/>
  <c r="J67" i="10"/>
  <c r="I67" i="10"/>
  <c r="L66" i="10"/>
  <c r="K66" i="10"/>
  <c r="J66" i="10"/>
  <c r="I66" i="10"/>
  <c r="L65" i="10"/>
  <c r="K65" i="10"/>
  <c r="J65" i="10"/>
  <c r="I65" i="10"/>
  <c r="L64" i="10"/>
  <c r="K64" i="10"/>
  <c r="J64" i="10"/>
  <c r="I64" i="10"/>
  <c r="L63" i="10"/>
  <c r="K63" i="10"/>
  <c r="J63" i="10"/>
  <c r="I63" i="10"/>
  <c r="L62" i="10"/>
  <c r="K62" i="10"/>
  <c r="J62" i="10"/>
  <c r="I62" i="10"/>
  <c r="L61" i="10"/>
  <c r="K61" i="10"/>
  <c r="J61" i="10"/>
  <c r="I61" i="10"/>
  <c r="L60" i="10"/>
  <c r="K60" i="10"/>
  <c r="J60" i="10"/>
  <c r="I60" i="10"/>
  <c r="L59" i="10"/>
  <c r="K59" i="10"/>
  <c r="J59" i="10"/>
  <c r="I59" i="10"/>
  <c r="L58" i="10"/>
  <c r="K58" i="10"/>
  <c r="J58" i="10"/>
  <c r="I58" i="10"/>
  <c r="L57" i="10"/>
  <c r="K57" i="10"/>
  <c r="J57" i="10"/>
  <c r="I57" i="10"/>
  <c r="L56" i="10"/>
  <c r="K56" i="10"/>
  <c r="J56" i="10"/>
  <c r="I56" i="10"/>
  <c r="L55" i="10"/>
  <c r="K55" i="10"/>
  <c r="J55" i="10"/>
  <c r="I55" i="10"/>
  <c r="L54" i="10"/>
  <c r="K54" i="10"/>
  <c r="J54" i="10"/>
  <c r="I54" i="10"/>
  <c r="L53" i="10"/>
  <c r="K53" i="10"/>
  <c r="J53" i="10"/>
  <c r="I53" i="10"/>
  <c r="L52" i="10"/>
  <c r="K52" i="10"/>
  <c r="J52" i="10"/>
  <c r="I52" i="10"/>
  <c r="L51" i="10"/>
  <c r="K51" i="10"/>
  <c r="J51" i="10"/>
  <c r="I51" i="10"/>
  <c r="L50" i="10"/>
  <c r="K50" i="10"/>
  <c r="J50" i="10"/>
  <c r="I50" i="10"/>
  <c r="L49" i="10"/>
  <c r="K49" i="10"/>
  <c r="J49" i="10"/>
  <c r="I49" i="10"/>
  <c r="L48" i="10"/>
  <c r="K48" i="10"/>
  <c r="J48" i="10"/>
  <c r="I48" i="10"/>
  <c r="L47" i="10"/>
  <c r="K47" i="10"/>
  <c r="J47" i="10"/>
  <c r="I47" i="10"/>
  <c r="L46" i="10"/>
  <c r="K46" i="10"/>
  <c r="J46" i="10"/>
  <c r="I46" i="10"/>
  <c r="L45" i="10"/>
  <c r="K45" i="10"/>
  <c r="J45" i="10"/>
  <c r="I45" i="10"/>
  <c r="L44" i="10"/>
  <c r="K44" i="10"/>
  <c r="J44" i="10"/>
  <c r="I44" i="10"/>
  <c r="L43" i="10"/>
  <c r="K43" i="10"/>
  <c r="J43" i="10"/>
  <c r="I43" i="10"/>
  <c r="L42" i="10"/>
  <c r="K42" i="10"/>
  <c r="J42" i="10"/>
  <c r="I42" i="10"/>
  <c r="L41" i="10"/>
  <c r="K41" i="10"/>
  <c r="J41" i="10"/>
  <c r="I41" i="10"/>
  <c r="L40" i="10"/>
  <c r="K40" i="10"/>
  <c r="J40" i="10"/>
  <c r="I40" i="10"/>
  <c r="L39" i="10"/>
  <c r="K39" i="10"/>
  <c r="J39" i="10"/>
  <c r="I39" i="10"/>
  <c r="L38" i="10"/>
  <c r="K38" i="10"/>
  <c r="J38" i="10"/>
  <c r="I38" i="10"/>
  <c r="L37" i="10"/>
  <c r="K37" i="10"/>
  <c r="J37" i="10"/>
  <c r="I37" i="10"/>
  <c r="L36" i="10"/>
  <c r="K36" i="10"/>
  <c r="J36" i="10"/>
  <c r="I36" i="10"/>
  <c r="L35" i="10"/>
  <c r="K35" i="10"/>
  <c r="J35" i="10"/>
  <c r="I35" i="10"/>
  <c r="L34" i="10"/>
  <c r="K34" i="10"/>
  <c r="J34" i="10"/>
  <c r="I34" i="10"/>
  <c r="L33" i="10"/>
  <c r="K33" i="10"/>
  <c r="J33" i="10"/>
  <c r="I33" i="10"/>
  <c r="L32" i="10"/>
  <c r="K32" i="10"/>
  <c r="J32" i="10"/>
  <c r="I32" i="10"/>
  <c r="L31" i="10"/>
  <c r="K31" i="10"/>
  <c r="J31" i="10"/>
  <c r="I31" i="10"/>
  <c r="L30" i="10"/>
  <c r="K30" i="10"/>
  <c r="J30" i="10"/>
  <c r="I30" i="10"/>
  <c r="L29" i="10"/>
  <c r="K29" i="10"/>
  <c r="J29" i="10"/>
  <c r="I29" i="10"/>
  <c r="L28" i="10"/>
  <c r="K28" i="10"/>
  <c r="J28" i="10"/>
  <c r="I28" i="10"/>
  <c r="L27" i="10"/>
  <c r="K27" i="10"/>
  <c r="J27" i="10"/>
  <c r="I27" i="10"/>
  <c r="L26" i="10"/>
  <c r="K26" i="10"/>
  <c r="J26" i="10"/>
  <c r="I26" i="10"/>
  <c r="L25" i="10"/>
  <c r="K25" i="10"/>
  <c r="J25" i="10"/>
  <c r="I25" i="10"/>
  <c r="L24" i="10"/>
  <c r="K24" i="10"/>
  <c r="J24" i="10"/>
  <c r="I24" i="10"/>
  <c r="L23" i="10"/>
  <c r="K23" i="10"/>
  <c r="J23" i="10"/>
  <c r="I23" i="10"/>
  <c r="L22" i="10"/>
  <c r="K22" i="10"/>
  <c r="J22" i="10"/>
  <c r="I22" i="10"/>
  <c r="L21" i="10"/>
  <c r="K21" i="10"/>
  <c r="J21" i="10"/>
  <c r="I21" i="10"/>
  <c r="L20" i="10"/>
  <c r="K20" i="10"/>
  <c r="J20" i="10"/>
  <c r="I20" i="10"/>
  <c r="L19" i="10"/>
  <c r="K19" i="10"/>
  <c r="J19" i="10"/>
  <c r="I19" i="10"/>
  <c r="L18" i="10"/>
  <c r="K18" i="10"/>
  <c r="J18" i="10"/>
  <c r="I18" i="10"/>
  <c r="L17" i="10"/>
  <c r="K17" i="10"/>
  <c r="J17" i="10"/>
  <c r="I17" i="10"/>
  <c r="L16" i="10"/>
  <c r="K16" i="10"/>
  <c r="J16" i="10"/>
  <c r="I16" i="10"/>
  <c r="L15" i="10"/>
  <c r="K15" i="10"/>
  <c r="J15" i="10"/>
  <c r="I15" i="10"/>
  <c r="L14" i="10"/>
  <c r="K14" i="10"/>
  <c r="J14" i="10"/>
  <c r="I14" i="10"/>
  <c r="L13" i="10"/>
  <c r="K13" i="10"/>
  <c r="J13" i="10"/>
  <c r="I13" i="10"/>
  <c r="L12" i="10"/>
  <c r="K12" i="10"/>
  <c r="J12" i="10"/>
  <c r="I12" i="10"/>
  <c r="L11" i="10"/>
  <c r="K11" i="10"/>
  <c r="J11" i="10"/>
  <c r="I11" i="10"/>
  <c r="L10" i="10"/>
  <c r="K10" i="10"/>
  <c r="J10" i="10"/>
  <c r="I10" i="10"/>
  <c r="L9" i="10"/>
  <c r="K9" i="10"/>
  <c r="J9" i="10"/>
  <c r="I9" i="10"/>
  <c r="L8" i="10"/>
  <c r="K8" i="10"/>
  <c r="J8" i="10"/>
  <c r="I8" i="10"/>
  <c r="L7" i="10"/>
  <c r="K7" i="10"/>
  <c r="J7" i="10"/>
  <c r="I7" i="10"/>
  <c r="L6" i="10"/>
  <c r="K6" i="10"/>
  <c r="J6" i="10"/>
  <c r="I6" i="10"/>
  <c r="L5" i="10"/>
  <c r="K5" i="10"/>
  <c r="J5" i="10"/>
  <c r="I5" i="10"/>
  <c r="F5" i="10"/>
  <c r="F6" i="10" s="1"/>
  <c r="E5" i="10"/>
  <c r="L4" i="10"/>
  <c r="K4" i="10"/>
  <c r="J4" i="10"/>
  <c r="I4" i="10"/>
  <c r="F4" i="10"/>
  <c r="E4" i="10" s="1"/>
  <c r="L3" i="10"/>
  <c r="K3" i="10"/>
  <c r="J3" i="10"/>
  <c r="I3" i="10"/>
  <c r="E3" i="10"/>
  <c r="D146" i="6"/>
  <c r="D145" i="6"/>
  <c r="D144" i="6"/>
  <c r="C144" i="6"/>
  <c r="D143" i="6"/>
  <c r="C143" i="6"/>
  <c r="D142" i="6"/>
  <c r="C142" i="6"/>
  <c r="D141" i="6"/>
  <c r="C141" i="6"/>
  <c r="D140" i="6"/>
  <c r="C140" i="6"/>
  <c r="D139" i="6"/>
  <c r="C139" i="6"/>
  <c r="D138" i="6"/>
  <c r="C138" i="6"/>
  <c r="D137" i="6"/>
  <c r="C137" i="6"/>
  <c r="D136" i="6"/>
  <c r="C136" i="6"/>
  <c r="D135" i="6"/>
  <c r="C135" i="6"/>
  <c r="D134" i="6"/>
  <c r="C134" i="6"/>
  <c r="D133" i="6"/>
  <c r="C133" i="6"/>
  <c r="D132" i="6"/>
  <c r="C132" i="6"/>
  <c r="D131" i="6"/>
  <c r="C131" i="6"/>
  <c r="D130" i="6"/>
  <c r="C130" i="6"/>
  <c r="D129" i="6"/>
  <c r="C129" i="6"/>
  <c r="D128" i="6"/>
  <c r="C128" i="6"/>
  <c r="D127" i="6"/>
  <c r="C127" i="6"/>
  <c r="D126" i="6"/>
  <c r="C126" i="6"/>
  <c r="D125" i="6"/>
  <c r="C125" i="6"/>
  <c r="D124" i="6"/>
  <c r="C124" i="6"/>
  <c r="D123" i="6"/>
  <c r="C123" i="6"/>
  <c r="D122" i="6"/>
  <c r="C122" i="6"/>
  <c r="D121" i="6"/>
  <c r="C121" i="6"/>
  <c r="D120" i="6"/>
  <c r="C120" i="6"/>
  <c r="D119" i="6"/>
  <c r="C119" i="6"/>
  <c r="D118" i="6"/>
  <c r="C118" i="6"/>
  <c r="D117" i="6"/>
  <c r="C117" i="6"/>
  <c r="D116" i="6"/>
  <c r="C116" i="6"/>
  <c r="D115" i="6"/>
  <c r="C115" i="6"/>
  <c r="D114" i="6"/>
  <c r="C114" i="6"/>
  <c r="D113" i="6"/>
  <c r="C113" i="6"/>
  <c r="D112" i="6"/>
  <c r="C112" i="6"/>
  <c r="D111" i="6"/>
  <c r="C111" i="6"/>
  <c r="D110" i="6"/>
  <c r="C110" i="6"/>
  <c r="D109" i="6"/>
  <c r="C109" i="6"/>
  <c r="D108" i="6"/>
  <c r="C108" i="6"/>
  <c r="D107" i="6"/>
  <c r="C107" i="6"/>
  <c r="D106" i="6"/>
  <c r="C106" i="6"/>
  <c r="D105" i="6"/>
  <c r="C105" i="6"/>
  <c r="D104" i="6"/>
  <c r="C104" i="6"/>
  <c r="D103" i="6"/>
  <c r="C103" i="6"/>
  <c r="D102" i="6"/>
  <c r="C102" i="6"/>
  <c r="D101" i="6"/>
  <c r="C101" i="6"/>
  <c r="D100" i="6"/>
  <c r="C100" i="6"/>
  <c r="D99" i="6"/>
  <c r="C99" i="6"/>
  <c r="D98" i="6"/>
  <c r="C98" i="6"/>
  <c r="D97" i="6"/>
  <c r="C97" i="6"/>
  <c r="D96" i="6"/>
  <c r="C96" i="6"/>
  <c r="D95" i="6"/>
  <c r="C95" i="6"/>
  <c r="D94" i="6"/>
  <c r="C94" i="6"/>
  <c r="D93" i="6"/>
  <c r="C93" i="6"/>
  <c r="D92" i="6"/>
  <c r="C92" i="6"/>
  <c r="D91" i="6"/>
  <c r="C91" i="6"/>
  <c r="D90" i="6"/>
  <c r="C90" i="6"/>
  <c r="D89" i="6"/>
  <c r="C89" i="6"/>
  <c r="D88" i="6"/>
  <c r="C88" i="6"/>
  <c r="D87" i="6"/>
  <c r="C87" i="6"/>
  <c r="D86" i="6"/>
  <c r="C86" i="6"/>
  <c r="D85" i="6"/>
  <c r="C85" i="6"/>
  <c r="D84" i="6"/>
  <c r="C84" i="6"/>
  <c r="D83" i="6"/>
  <c r="C83" i="6"/>
  <c r="D82" i="6"/>
  <c r="C82" i="6"/>
  <c r="D81" i="6"/>
  <c r="C81" i="6"/>
  <c r="D80" i="6"/>
  <c r="C80" i="6"/>
  <c r="D79" i="6"/>
  <c r="C79" i="6"/>
  <c r="D78" i="6"/>
  <c r="C78" i="6"/>
  <c r="D77" i="6"/>
  <c r="C77" i="6"/>
  <c r="D76" i="6"/>
  <c r="C76" i="6"/>
  <c r="D75" i="6"/>
  <c r="C75" i="6"/>
  <c r="D74" i="6"/>
  <c r="C74" i="6"/>
  <c r="D73" i="6"/>
  <c r="C73" i="6"/>
  <c r="D72" i="6"/>
  <c r="C72" i="6"/>
  <c r="D71" i="6"/>
  <c r="C71" i="6"/>
  <c r="D70" i="6"/>
  <c r="C70" i="6"/>
  <c r="D69" i="6"/>
  <c r="C69" i="6"/>
  <c r="D68" i="6"/>
  <c r="C68" i="6"/>
  <c r="D67" i="6"/>
  <c r="C67" i="6"/>
  <c r="D66" i="6"/>
  <c r="C66" i="6"/>
  <c r="D65" i="6"/>
  <c r="C65" i="6"/>
  <c r="D64" i="6"/>
  <c r="C64" i="6"/>
  <c r="D63" i="6"/>
  <c r="C63" i="6"/>
  <c r="D62" i="6"/>
  <c r="C62" i="6"/>
  <c r="D61" i="6"/>
  <c r="C61" i="6"/>
  <c r="D60" i="6"/>
  <c r="C60" i="6"/>
  <c r="D59" i="6"/>
  <c r="C59" i="6"/>
  <c r="D58" i="6"/>
  <c r="C58" i="6"/>
  <c r="D57" i="6"/>
  <c r="C57" i="6"/>
  <c r="D56" i="6"/>
  <c r="C56" i="6"/>
  <c r="D55" i="6"/>
  <c r="C55" i="6"/>
  <c r="D54" i="6"/>
  <c r="C54" i="6"/>
  <c r="D53" i="6"/>
  <c r="C53" i="6"/>
  <c r="D52" i="6"/>
  <c r="C52" i="6"/>
  <c r="D51" i="6"/>
  <c r="C51" i="6"/>
  <c r="D50" i="6"/>
  <c r="C50" i="6"/>
  <c r="D49" i="6"/>
  <c r="C49" i="6"/>
  <c r="D48" i="6"/>
  <c r="C48" i="6"/>
  <c r="D47" i="6"/>
  <c r="C47" i="6"/>
  <c r="D46" i="6"/>
  <c r="C46" i="6"/>
  <c r="D45" i="6"/>
  <c r="C45" i="6"/>
  <c r="D44" i="6"/>
  <c r="C44" i="6"/>
  <c r="D43" i="6"/>
  <c r="C43" i="6"/>
  <c r="D42" i="6"/>
  <c r="C42" i="6"/>
  <c r="D41" i="6"/>
  <c r="C41" i="6"/>
  <c r="D40" i="6"/>
  <c r="C40" i="6"/>
  <c r="D39" i="6"/>
  <c r="C39" i="6"/>
  <c r="D38" i="6"/>
  <c r="C38" i="6"/>
  <c r="D37" i="6"/>
  <c r="C37" i="6"/>
  <c r="D36" i="6"/>
  <c r="C36" i="6"/>
  <c r="D35" i="6"/>
  <c r="C35" i="6"/>
  <c r="D34" i="6"/>
  <c r="C34" i="6"/>
  <c r="D33" i="6"/>
  <c r="C33" i="6"/>
  <c r="D32" i="6"/>
  <c r="C32" i="6"/>
  <c r="D31" i="6"/>
  <c r="C31" i="6"/>
  <c r="D30" i="6"/>
  <c r="C30" i="6"/>
  <c r="D29" i="6"/>
  <c r="C29" i="6"/>
  <c r="D28" i="6"/>
  <c r="C28" i="6"/>
  <c r="D27" i="6"/>
  <c r="C27" i="6"/>
  <c r="D26" i="6"/>
  <c r="C26" i="6"/>
  <c r="D25" i="6"/>
  <c r="C25" i="6"/>
  <c r="D24" i="6"/>
  <c r="C24" i="6"/>
  <c r="D23" i="6"/>
  <c r="C23" i="6"/>
  <c r="D22" i="6"/>
  <c r="C22" i="6"/>
  <c r="D21" i="6"/>
  <c r="C21" i="6"/>
  <c r="D20" i="6"/>
  <c r="C20" i="6"/>
  <c r="D19" i="6"/>
  <c r="C19" i="6"/>
  <c r="D18" i="6"/>
  <c r="C18" i="6"/>
  <c r="D17" i="6"/>
  <c r="C17" i="6"/>
  <c r="D16" i="6"/>
  <c r="C16" i="6"/>
  <c r="D15" i="6"/>
  <c r="C15" i="6"/>
  <c r="D14" i="6"/>
  <c r="C14" i="6"/>
  <c r="D13" i="6"/>
  <c r="C13" i="6"/>
  <c r="D12" i="6"/>
  <c r="C12" i="6"/>
  <c r="D11" i="6"/>
  <c r="C11" i="6"/>
  <c r="D10" i="6"/>
  <c r="C10" i="6"/>
  <c r="D9" i="6"/>
  <c r="C9" i="6"/>
  <c r="D8" i="6"/>
  <c r="C8" i="6"/>
  <c r="D7" i="6"/>
  <c r="C7" i="6"/>
  <c r="D6" i="6"/>
  <c r="C6" i="6"/>
  <c r="D5" i="6"/>
  <c r="C5" i="6"/>
  <c r="D4" i="6"/>
  <c r="C4" i="6"/>
  <c r="D3" i="6"/>
  <c r="C3" i="6"/>
  <c r="D2" i="6"/>
  <c r="C2" i="6"/>
  <c r="D1" i="6"/>
  <c r="C1" i="6"/>
  <c r="C138" i="4"/>
  <c r="E138" i="4" s="1"/>
  <c r="G2171" i="1"/>
  <c r="G2170" i="1"/>
  <c r="G1195" i="1"/>
  <c r="G1194" i="1"/>
  <c r="G1193" i="1"/>
  <c r="G751" i="1"/>
  <c r="A3" i="26" l="1"/>
  <c r="C3" i="26" s="1"/>
  <c r="F7" i="10"/>
  <c r="E6" i="10"/>
  <c r="A4" i="26" l="1"/>
  <c r="C4" i="26" s="1"/>
  <c r="B3" i="26"/>
  <c r="E7" i="10"/>
  <c r="F8" i="10"/>
  <c r="A5" i="26" l="1"/>
  <c r="C5" i="26" s="1"/>
  <c r="B4" i="26"/>
  <c r="F9" i="10"/>
  <c r="E8" i="10"/>
  <c r="A6" i="26" l="1"/>
  <c r="C6" i="26" s="1"/>
  <c r="B5" i="26"/>
  <c r="F10" i="10"/>
  <c r="E9" i="10"/>
  <c r="A7" i="26" l="1"/>
  <c r="C7" i="26" s="1"/>
  <c r="B6" i="26"/>
  <c r="E10" i="10"/>
  <c r="F11" i="10"/>
  <c r="A8" i="26" l="1"/>
  <c r="C8" i="26" s="1"/>
  <c r="B7" i="26"/>
  <c r="F12" i="10"/>
  <c r="E11" i="10"/>
  <c r="A9" i="26" l="1"/>
  <c r="C9" i="26" s="1"/>
  <c r="B8" i="26"/>
  <c r="E12" i="10"/>
  <c r="F13" i="10"/>
  <c r="A10" i="26" l="1"/>
  <c r="C10" i="26" s="1"/>
  <c r="B9" i="26"/>
  <c r="E13" i="10"/>
  <c r="F14" i="10"/>
  <c r="A11" i="26" l="1"/>
  <c r="C11" i="26" s="1"/>
  <c r="B10" i="26"/>
  <c r="F15" i="10"/>
  <c r="E14" i="10"/>
  <c r="A12" i="26" l="1"/>
  <c r="C12" i="26" s="1"/>
  <c r="B11" i="26"/>
  <c r="E15" i="10"/>
  <c r="F16" i="10"/>
  <c r="A13" i="26" l="1"/>
  <c r="C13" i="26" s="1"/>
  <c r="B12" i="26"/>
  <c r="F17" i="10"/>
  <c r="E16" i="10"/>
  <c r="A14" i="26" l="1"/>
  <c r="C14" i="26" s="1"/>
  <c r="B13" i="26"/>
  <c r="F18" i="10"/>
  <c r="E17" i="10"/>
  <c r="B14" i="26" l="1"/>
  <c r="A15" i="26"/>
  <c r="C15" i="26" s="1"/>
  <c r="E18" i="10"/>
  <c r="F19" i="10"/>
  <c r="B15" i="26" l="1"/>
  <c r="A16" i="26"/>
  <c r="C16" i="26" s="1"/>
  <c r="F20" i="10"/>
  <c r="E19" i="10"/>
  <c r="A17" i="26" l="1"/>
  <c r="C17" i="26" s="1"/>
  <c r="B16" i="26"/>
  <c r="E20" i="10"/>
  <c r="F21" i="10"/>
  <c r="A18" i="26" l="1"/>
  <c r="C18" i="26" s="1"/>
  <c r="B17" i="26"/>
  <c r="E21" i="10"/>
  <c r="F22" i="10"/>
  <c r="A19" i="26" l="1"/>
  <c r="C19" i="26" s="1"/>
  <c r="B18" i="26"/>
  <c r="F23" i="10"/>
  <c r="E22" i="10"/>
  <c r="A20" i="26" l="1"/>
  <c r="C20" i="26" s="1"/>
  <c r="B19" i="26"/>
  <c r="E23" i="10"/>
  <c r="F24" i="10"/>
  <c r="A21" i="26" l="1"/>
  <c r="C21" i="26" s="1"/>
  <c r="B20" i="26"/>
  <c r="F25" i="10"/>
  <c r="E24" i="10"/>
  <c r="A22" i="26" l="1"/>
  <c r="C22" i="26" s="1"/>
  <c r="B21" i="26"/>
  <c r="F26" i="10"/>
  <c r="E25" i="10"/>
  <c r="A23" i="26" l="1"/>
  <c r="C23" i="26" s="1"/>
  <c r="B22" i="26"/>
  <c r="E26" i="10"/>
  <c r="F27" i="10"/>
  <c r="A24" i="26" l="1"/>
  <c r="C24" i="26" s="1"/>
  <c r="B23" i="26"/>
  <c r="F28" i="10"/>
  <c r="E27" i="10"/>
  <c r="A25" i="26" l="1"/>
  <c r="C25" i="26" s="1"/>
  <c r="B24" i="26"/>
  <c r="E28" i="10"/>
  <c r="F29" i="10"/>
  <c r="A26" i="26" l="1"/>
  <c r="C26" i="26" s="1"/>
  <c r="B25" i="26"/>
  <c r="E29" i="10"/>
  <c r="F30" i="10"/>
  <c r="A27" i="26" l="1"/>
  <c r="C27" i="26" s="1"/>
  <c r="B26" i="26"/>
  <c r="F31" i="10"/>
  <c r="E30" i="10"/>
  <c r="B27" i="26" l="1"/>
  <c r="A28" i="26"/>
  <c r="C28" i="26" s="1"/>
  <c r="E31" i="10"/>
  <c r="F32" i="10"/>
  <c r="A29" i="26" l="1"/>
  <c r="C29" i="26" s="1"/>
  <c r="B28" i="26"/>
  <c r="F33" i="10"/>
  <c r="E32" i="10"/>
  <c r="A30" i="26" l="1"/>
  <c r="C30" i="26" s="1"/>
  <c r="B29" i="26"/>
  <c r="F34" i="10"/>
  <c r="E33" i="10"/>
  <c r="A31" i="26" l="1"/>
  <c r="C31" i="26" s="1"/>
  <c r="B30" i="26"/>
  <c r="E34" i="10"/>
  <c r="F35" i="10"/>
  <c r="A32" i="26" l="1"/>
  <c r="C32" i="26" s="1"/>
  <c r="B31" i="26"/>
  <c r="F36" i="10"/>
  <c r="E35" i="10"/>
  <c r="A33" i="26" l="1"/>
  <c r="C33" i="26" s="1"/>
  <c r="B32" i="26"/>
  <c r="E36" i="10"/>
  <c r="F37" i="10"/>
  <c r="A34" i="26" l="1"/>
  <c r="C34" i="26" s="1"/>
  <c r="B33" i="26"/>
  <c r="E37" i="10"/>
  <c r="F38" i="10"/>
  <c r="A35" i="26" l="1"/>
  <c r="C35" i="26" s="1"/>
  <c r="B34" i="26"/>
  <c r="F39" i="10"/>
  <c r="E38" i="10"/>
  <c r="A36" i="26" l="1"/>
  <c r="C36" i="26" s="1"/>
  <c r="B35" i="26"/>
  <c r="E39" i="10"/>
  <c r="F40" i="10"/>
  <c r="A37" i="26" l="1"/>
  <c r="C37" i="26" s="1"/>
  <c r="B36" i="26"/>
  <c r="F41" i="10"/>
  <c r="E40" i="10"/>
  <c r="A38" i="26" l="1"/>
  <c r="C38" i="26" s="1"/>
  <c r="B37" i="26"/>
  <c r="F42" i="10"/>
  <c r="E41" i="10"/>
  <c r="A39" i="26" l="1"/>
  <c r="C39" i="26" s="1"/>
  <c r="B38" i="26"/>
  <c r="E42" i="10"/>
  <c r="F43" i="10"/>
  <c r="A40" i="26" l="1"/>
  <c r="C40" i="26" s="1"/>
  <c r="B39" i="26"/>
  <c r="F44" i="10"/>
  <c r="E43" i="10"/>
  <c r="A41" i="26" l="1"/>
  <c r="C41" i="26" s="1"/>
  <c r="B40" i="26"/>
  <c r="E44" i="10"/>
  <c r="F45" i="10"/>
  <c r="A42" i="26" l="1"/>
  <c r="C42" i="26" s="1"/>
  <c r="B41" i="26"/>
  <c r="E45" i="10"/>
  <c r="F46" i="10"/>
  <c r="A43" i="26" l="1"/>
  <c r="C43" i="26" s="1"/>
  <c r="B42" i="26"/>
  <c r="F47" i="10"/>
  <c r="E46" i="10"/>
  <c r="A44" i="26" l="1"/>
  <c r="C44" i="26" s="1"/>
  <c r="B43" i="26"/>
  <c r="E47" i="10"/>
  <c r="F48" i="10"/>
  <c r="A45" i="26" l="1"/>
  <c r="C45" i="26" s="1"/>
  <c r="B44" i="26"/>
  <c r="F49" i="10"/>
  <c r="E48" i="10"/>
  <c r="A46" i="26" l="1"/>
  <c r="C46" i="26" s="1"/>
  <c r="B45" i="26"/>
  <c r="F50" i="10"/>
  <c r="E49" i="10"/>
  <c r="A47" i="26" l="1"/>
  <c r="C47" i="26" s="1"/>
  <c r="B46" i="26"/>
  <c r="E50" i="10"/>
  <c r="F51" i="10"/>
  <c r="A48" i="26" l="1"/>
  <c r="C48" i="26" s="1"/>
  <c r="B47" i="26"/>
  <c r="F52" i="10"/>
  <c r="E51" i="10"/>
  <c r="A49" i="26" l="1"/>
  <c r="C49" i="26" s="1"/>
  <c r="B48" i="26"/>
  <c r="E52" i="10"/>
  <c r="F53" i="10"/>
  <c r="A50" i="26" l="1"/>
  <c r="C50" i="26" s="1"/>
  <c r="B49" i="26"/>
  <c r="E53" i="10"/>
  <c r="F54" i="10"/>
  <c r="A51" i="26" l="1"/>
  <c r="C51" i="26" s="1"/>
  <c r="B50" i="26"/>
  <c r="F55" i="10"/>
  <c r="E54" i="10"/>
  <c r="A52" i="26" l="1"/>
  <c r="C52" i="26" s="1"/>
  <c r="B51" i="26"/>
  <c r="E55" i="10"/>
  <c r="F56" i="10"/>
  <c r="A53" i="26" l="1"/>
  <c r="C53" i="26" s="1"/>
  <c r="B52" i="26"/>
  <c r="F57" i="10"/>
  <c r="E56" i="10"/>
  <c r="A54" i="26" l="1"/>
  <c r="C54" i="26" s="1"/>
  <c r="B53" i="26"/>
  <c r="F58" i="10"/>
  <c r="E57" i="10"/>
  <c r="A55" i="26" l="1"/>
  <c r="C55" i="26" s="1"/>
  <c r="B54" i="26"/>
  <c r="E58" i="10"/>
  <c r="F59" i="10"/>
  <c r="A56" i="26" l="1"/>
  <c r="C56" i="26" s="1"/>
  <c r="B55" i="26"/>
  <c r="F60" i="10"/>
  <c r="E59" i="10"/>
  <c r="A57" i="26" l="1"/>
  <c r="C57" i="26" s="1"/>
  <c r="B56" i="26"/>
  <c r="E60" i="10"/>
  <c r="F61" i="10"/>
  <c r="A58" i="26" l="1"/>
  <c r="C58" i="26" s="1"/>
  <c r="B57" i="26"/>
  <c r="E61" i="10"/>
  <c r="F62" i="10"/>
  <c r="A59" i="26" l="1"/>
  <c r="C59" i="26" s="1"/>
  <c r="B58" i="26"/>
  <c r="F63" i="10"/>
  <c r="E62" i="10"/>
  <c r="A60" i="26" l="1"/>
  <c r="C60" i="26" s="1"/>
  <c r="B59" i="26"/>
  <c r="E63" i="10"/>
  <c r="F64" i="10"/>
  <c r="A61" i="26" l="1"/>
  <c r="C61" i="26" s="1"/>
  <c r="B60" i="26"/>
  <c r="F65" i="10"/>
  <c r="E64" i="10"/>
  <c r="A62" i="26" l="1"/>
  <c r="C62" i="26" s="1"/>
  <c r="B61" i="26"/>
  <c r="F66" i="10"/>
  <c r="E65" i="10"/>
  <c r="A63" i="26" l="1"/>
  <c r="C63" i="26" s="1"/>
  <c r="B62" i="26"/>
  <c r="E66" i="10"/>
  <c r="F67" i="10"/>
  <c r="A64" i="26" l="1"/>
  <c r="C64" i="26" s="1"/>
  <c r="B63" i="26"/>
  <c r="F68" i="10"/>
  <c r="E67" i="10"/>
  <c r="A65" i="26" l="1"/>
  <c r="C65" i="26" s="1"/>
  <c r="B64" i="26"/>
  <c r="E68" i="10"/>
  <c r="F69" i="10"/>
  <c r="A66" i="26" l="1"/>
  <c r="C66" i="26" s="1"/>
  <c r="B65" i="26"/>
  <c r="E69" i="10"/>
  <c r="F70" i="10"/>
  <c r="A67" i="26" l="1"/>
  <c r="C67" i="26" s="1"/>
  <c r="B66" i="26"/>
  <c r="F71" i="10"/>
  <c r="E70" i="10"/>
  <c r="A68" i="26" l="1"/>
  <c r="C68" i="26" s="1"/>
  <c r="B67" i="26"/>
  <c r="E71" i="10"/>
  <c r="F72" i="10"/>
  <c r="A69" i="26" l="1"/>
  <c r="C69" i="26" s="1"/>
  <c r="B68" i="26"/>
  <c r="F73" i="10"/>
  <c r="E72" i="10"/>
  <c r="A70" i="26" l="1"/>
  <c r="C70" i="26" s="1"/>
  <c r="B69" i="26"/>
  <c r="F74" i="10"/>
  <c r="E73" i="10"/>
  <c r="A71" i="26" l="1"/>
  <c r="C71" i="26" s="1"/>
  <c r="B70" i="26"/>
  <c r="E74" i="10"/>
  <c r="F75" i="10"/>
  <c r="A72" i="26" l="1"/>
  <c r="C72" i="26" s="1"/>
  <c r="B71" i="26"/>
  <c r="F76" i="10"/>
  <c r="E75" i="10"/>
  <c r="A73" i="26" l="1"/>
  <c r="C73" i="26" s="1"/>
  <c r="B72" i="26"/>
  <c r="E76" i="10"/>
  <c r="F77" i="10"/>
  <c r="A74" i="26" l="1"/>
  <c r="C74" i="26" s="1"/>
  <c r="B73" i="26"/>
  <c r="E77" i="10"/>
  <c r="F78" i="10"/>
  <c r="A75" i="26" l="1"/>
  <c r="C75" i="26" s="1"/>
  <c r="B74" i="26"/>
  <c r="F79" i="10"/>
  <c r="E78" i="10"/>
  <c r="A76" i="26" l="1"/>
  <c r="C76" i="26" s="1"/>
  <c r="B75" i="26"/>
  <c r="E79" i="10"/>
  <c r="F80" i="10"/>
  <c r="A77" i="26" l="1"/>
  <c r="C77" i="26" s="1"/>
  <c r="B76" i="26"/>
  <c r="F81" i="10"/>
  <c r="E80" i="10"/>
  <c r="A78" i="26" l="1"/>
  <c r="C78" i="26" s="1"/>
  <c r="B77" i="26"/>
  <c r="F82" i="10"/>
  <c r="E81" i="10"/>
  <c r="A79" i="26" l="1"/>
  <c r="C79" i="26" s="1"/>
  <c r="B78" i="26"/>
  <c r="E82" i="10"/>
  <c r="F83" i="10"/>
  <c r="A80" i="26" l="1"/>
  <c r="C80" i="26" s="1"/>
  <c r="B79" i="26"/>
  <c r="F84" i="10"/>
  <c r="E83" i="10"/>
  <c r="A81" i="26" l="1"/>
  <c r="C81" i="26" s="1"/>
  <c r="B80" i="26"/>
  <c r="E84" i="10"/>
  <c r="F85" i="10"/>
  <c r="A82" i="26" l="1"/>
  <c r="C82" i="26" s="1"/>
  <c r="B81" i="26"/>
  <c r="E85" i="10"/>
  <c r="F86" i="10"/>
  <c r="A83" i="26" l="1"/>
  <c r="C83" i="26" s="1"/>
  <c r="B82" i="26"/>
  <c r="F87" i="10"/>
  <c r="E86" i="10"/>
  <c r="A84" i="26" l="1"/>
  <c r="C84" i="26" s="1"/>
  <c r="B83" i="26"/>
  <c r="E87" i="10"/>
  <c r="F88" i="10"/>
  <c r="A85" i="26" l="1"/>
  <c r="C85" i="26" s="1"/>
  <c r="B84" i="26"/>
  <c r="F89" i="10"/>
  <c r="E88" i="10"/>
  <c r="A86" i="26" l="1"/>
  <c r="C86" i="26" s="1"/>
  <c r="B85" i="26"/>
  <c r="F90" i="10"/>
  <c r="E89" i="10"/>
  <c r="A87" i="26" l="1"/>
  <c r="C87" i="26" s="1"/>
  <c r="B86" i="26"/>
  <c r="E90" i="10"/>
  <c r="F91" i="10"/>
  <c r="A88" i="26" l="1"/>
  <c r="C88" i="26" s="1"/>
  <c r="B87" i="26"/>
  <c r="F92" i="10"/>
  <c r="E91" i="10"/>
  <c r="A89" i="26" l="1"/>
  <c r="C89" i="26" s="1"/>
  <c r="B88" i="26"/>
  <c r="E92" i="10"/>
  <c r="F93" i="10"/>
  <c r="A90" i="26" l="1"/>
  <c r="C90" i="26" s="1"/>
  <c r="B89" i="26"/>
  <c r="E93" i="10"/>
  <c r="F94" i="10"/>
  <c r="A91" i="26" l="1"/>
  <c r="C91" i="26" s="1"/>
  <c r="B90" i="26"/>
  <c r="F95" i="10"/>
  <c r="E94" i="10"/>
  <c r="A92" i="26" l="1"/>
  <c r="C92" i="26" s="1"/>
  <c r="B91" i="26"/>
  <c r="E95" i="10"/>
  <c r="F96" i="10"/>
  <c r="A93" i="26" l="1"/>
  <c r="C93" i="26" s="1"/>
  <c r="B92" i="26"/>
  <c r="F97" i="10"/>
  <c r="E96" i="10"/>
  <c r="A94" i="26" l="1"/>
  <c r="C94" i="26" s="1"/>
  <c r="B93" i="26"/>
  <c r="F98" i="10"/>
  <c r="E97" i="10"/>
  <c r="A95" i="26" l="1"/>
  <c r="C95" i="26" s="1"/>
  <c r="B94" i="26"/>
  <c r="E98" i="10"/>
  <c r="F99" i="10"/>
  <c r="A96" i="26" l="1"/>
  <c r="C96" i="26" s="1"/>
  <c r="B95" i="26"/>
  <c r="F100" i="10"/>
  <c r="E99" i="10"/>
  <c r="A97" i="26" l="1"/>
  <c r="C97" i="26" s="1"/>
  <c r="B96" i="26"/>
  <c r="E100" i="10"/>
  <c r="F101" i="10"/>
  <c r="A98" i="26" l="1"/>
  <c r="C98" i="26" s="1"/>
  <c r="B97" i="26"/>
  <c r="E101" i="10"/>
  <c r="F102" i="10"/>
  <c r="A99" i="26" l="1"/>
  <c r="C99" i="26" s="1"/>
  <c r="B98" i="26"/>
  <c r="F103" i="10"/>
  <c r="E102" i="10"/>
  <c r="A100" i="26" l="1"/>
  <c r="C100" i="26" s="1"/>
  <c r="B99" i="26"/>
  <c r="E103" i="10"/>
  <c r="F104" i="10"/>
  <c r="A101" i="26" l="1"/>
  <c r="C101" i="26" s="1"/>
  <c r="B100" i="26"/>
  <c r="F105" i="10"/>
  <c r="E104" i="10"/>
  <c r="A102" i="26" l="1"/>
  <c r="C102" i="26" s="1"/>
  <c r="B101" i="26"/>
  <c r="F106" i="10"/>
  <c r="E105" i="10"/>
  <c r="A103" i="26" l="1"/>
  <c r="C103" i="26" s="1"/>
  <c r="B102" i="26"/>
  <c r="E106" i="10"/>
  <c r="F107" i="10"/>
  <c r="A104" i="26" l="1"/>
  <c r="C104" i="26" s="1"/>
  <c r="B103" i="26"/>
  <c r="F108" i="10"/>
  <c r="E107" i="10"/>
  <c r="A105" i="26" l="1"/>
  <c r="C105" i="26" s="1"/>
  <c r="B104" i="26"/>
  <c r="E108" i="10"/>
  <c r="F109" i="10"/>
  <c r="A106" i="26" l="1"/>
  <c r="C106" i="26" s="1"/>
  <c r="B105" i="26"/>
  <c r="E109" i="10"/>
  <c r="F110" i="10"/>
  <c r="A107" i="26" l="1"/>
  <c r="C107" i="26" s="1"/>
  <c r="B106" i="26"/>
  <c r="F111" i="10"/>
  <c r="E110" i="10"/>
  <c r="A108" i="26" l="1"/>
  <c r="C108" i="26" s="1"/>
  <c r="B107" i="26"/>
  <c r="E111" i="10"/>
  <c r="F112" i="10"/>
  <c r="A109" i="26" l="1"/>
  <c r="C109" i="26" s="1"/>
  <c r="B108" i="26"/>
  <c r="F113" i="10"/>
  <c r="E112" i="10"/>
  <c r="A110" i="26" l="1"/>
  <c r="C110" i="26" s="1"/>
  <c r="B109" i="26"/>
  <c r="F114" i="10"/>
  <c r="E113" i="10"/>
  <c r="A111" i="26" l="1"/>
  <c r="C111" i="26" s="1"/>
  <c r="B110" i="26"/>
  <c r="E114" i="10"/>
  <c r="F115" i="10"/>
  <c r="A112" i="26" l="1"/>
  <c r="C112" i="26" s="1"/>
  <c r="B111" i="26"/>
  <c r="F116" i="10"/>
  <c r="E115" i="10"/>
  <c r="A113" i="26" l="1"/>
  <c r="C113" i="26" s="1"/>
  <c r="B112" i="26"/>
  <c r="E116" i="10"/>
  <c r="F117" i="10"/>
  <c r="A114" i="26" l="1"/>
  <c r="C114" i="26" s="1"/>
  <c r="B113" i="26"/>
  <c r="E117" i="10"/>
  <c r="F118" i="10"/>
  <c r="A115" i="26" l="1"/>
  <c r="C115" i="26" s="1"/>
  <c r="B114" i="26"/>
  <c r="F119" i="10"/>
  <c r="E118" i="10"/>
  <c r="A116" i="26" l="1"/>
  <c r="C116" i="26" s="1"/>
  <c r="B115" i="26"/>
  <c r="E119" i="10"/>
  <c r="F120" i="10"/>
  <c r="A117" i="26" l="1"/>
  <c r="C117" i="26" s="1"/>
  <c r="B116" i="26"/>
  <c r="F121" i="10"/>
  <c r="E120" i="10"/>
  <c r="A118" i="26" l="1"/>
  <c r="C118" i="26" s="1"/>
  <c r="B117" i="26"/>
  <c r="F122" i="10"/>
  <c r="E121" i="10"/>
  <c r="A119" i="26" l="1"/>
  <c r="C119" i="26" s="1"/>
  <c r="B118" i="26"/>
  <c r="E122" i="10"/>
  <c r="F123" i="10"/>
  <c r="A120" i="26" l="1"/>
  <c r="C120" i="26" s="1"/>
  <c r="B119" i="26"/>
  <c r="F124" i="10"/>
  <c r="E123" i="10"/>
  <c r="A121" i="26" l="1"/>
  <c r="C121" i="26" s="1"/>
  <c r="B120" i="26"/>
  <c r="E124" i="10"/>
  <c r="F125" i="10"/>
  <c r="A122" i="26" l="1"/>
  <c r="C122" i="26" s="1"/>
  <c r="B121" i="26"/>
  <c r="E125" i="10"/>
  <c r="F126" i="10"/>
  <c r="A123" i="26" l="1"/>
  <c r="C123" i="26" s="1"/>
  <c r="B122" i="26"/>
  <c r="F127" i="10"/>
  <c r="E126" i="10"/>
  <c r="A124" i="26" l="1"/>
  <c r="C124" i="26" s="1"/>
  <c r="B123" i="26"/>
  <c r="E127" i="10"/>
  <c r="F128" i="10"/>
  <c r="A125" i="26" l="1"/>
  <c r="C125" i="26" s="1"/>
  <c r="B124" i="26"/>
  <c r="F129" i="10"/>
  <c r="E128" i="10"/>
  <c r="A126" i="26" l="1"/>
  <c r="C126" i="26" s="1"/>
  <c r="B125" i="26"/>
  <c r="F130" i="10"/>
  <c r="E129" i="10"/>
  <c r="B126" i="26" l="1"/>
  <c r="A127" i="26"/>
  <c r="C127" i="26" s="1"/>
  <c r="E130" i="10"/>
  <c r="F131" i="10"/>
  <c r="B127" i="26" l="1"/>
  <c r="A128" i="26"/>
  <c r="C128" i="26" s="1"/>
  <c r="F132" i="10"/>
  <c r="E131" i="10"/>
  <c r="A129" i="26" l="1"/>
  <c r="C129" i="26" s="1"/>
  <c r="B128" i="26"/>
  <c r="E132" i="10"/>
  <c r="F133" i="10"/>
  <c r="A130" i="26" l="1"/>
  <c r="C130" i="26" s="1"/>
  <c r="B129" i="26"/>
  <c r="E133" i="10"/>
  <c r="F134" i="10"/>
  <c r="A131" i="26" l="1"/>
  <c r="C131" i="26" s="1"/>
  <c r="B130" i="26"/>
  <c r="F135" i="10"/>
  <c r="E134" i="10"/>
  <c r="A132" i="26" l="1"/>
  <c r="C132" i="26" s="1"/>
  <c r="B131" i="26"/>
  <c r="F136" i="10"/>
  <c r="E135" i="10"/>
  <c r="B132" i="26" l="1"/>
  <c r="A133" i="26"/>
  <c r="F137" i="10"/>
  <c r="E136" i="10"/>
  <c r="B133" i="26" l="1"/>
  <c r="C133" i="26"/>
  <c r="F138" i="10"/>
  <c r="E137" i="10"/>
  <c r="F139" i="10" l="1"/>
  <c r="E138" i="10"/>
  <c r="F140" i="10" l="1"/>
  <c r="E139" i="10"/>
  <c r="E140" i="10" l="1"/>
  <c r="F141" i="10"/>
  <c r="F142" i="10" l="1"/>
  <c r="E141" i="10"/>
  <c r="F143" i="10" l="1"/>
  <c r="E142" i="10"/>
  <c r="F144" i="10" l="1"/>
  <c r="E143" i="10"/>
  <c r="F145" i="10" l="1"/>
  <c r="E144" i="10"/>
  <c r="F146" i="10" l="1"/>
  <c r="E145" i="10"/>
  <c r="F147" i="10" l="1"/>
  <c r="E146" i="10"/>
  <c r="F148" i="10" l="1"/>
  <c r="E147" i="10"/>
  <c r="E148" i="10" l="1"/>
  <c r="F149" i="10"/>
  <c r="F150" i="10" l="1"/>
  <c r="E149" i="10"/>
  <c r="F151" i="10" l="1"/>
  <c r="E150" i="10"/>
  <c r="F152" i="10" l="1"/>
  <c r="E151" i="10"/>
  <c r="F153" i="10" l="1"/>
  <c r="E152" i="10"/>
  <c r="F154" i="10" l="1"/>
  <c r="E153" i="10"/>
  <c r="F155" i="10" l="1"/>
  <c r="E154" i="10"/>
  <c r="F156" i="10" l="1"/>
  <c r="F157" i="10" s="1"/>
  <c r="F158" i="10" s="1"/>
  <c r="F159" i="10" s="1"/>
  <c r="F160" i="10" s="1"/>
  <c r="F161" i="10" s="1"/>
  <c r="F162" i="10" s="1"/>
  <c r="F163" i="10" s="1"/>
  <c r="F164" i="10" s="1"/>
  <c r="F165" i="10" s="1"/>
  <c r="F166" i="10" s="1"/>
  <c r="F167" i="10" s="1"/>
  <c r="F168" i="10" s="1"/>
  <c r="F169" i="10" s="1"/>
  <c r="F170" i="10" s="1"/>
  <c r="F171" i="10" s="1"/>
  <c r="F172" i="10" s="1"/>
  <c r="F173" i="10" s="1"/>
  <c r="F174" i="10" s="1"/>
  <c r="F175" i="10" s="1"/>
  <c r="F176" i="10" s="1"/>
  <c r="F177" i="10" s="1"/>
  <c r="F178" i="10" s="1"/>
  <c r="F179" i="10" s="1"/>
  <c r="F180" i="10" s="1"/>
  <c r="F181" i="10" s="1"/>
  <c r="F182" i="10" s="1"/>
  <c r="F183" i="10" s="1"/>
  <c r="F184" i="10" s="1"/>
  <c r="F185" i="10" s="1"/>
  <c r="F186" i="10" s="1"/>
  <c r="F187" i="10" s="1"/>
  <c r="F188" i="10" s="1"/>
  <c r="F189" i="10" s="1"/>
  <c r="F190" i="10" s="1"/>
  <c r="F191" i="10" s="1"/>
  <c r="F192" i="10" s="1"/>
  <c r="F193" i="10" s="1"/>
  <c r="F194" i="10" s="1"/>
  <c r="F195" i="10" s="1"/>
  <c r="F196" i="10" s="1"/>
  <c r="F197" i="10" s="1"/>
  <c r="F198" i="10" s="1"/>
  <c r="F199" i="10" s="1"/>
  <c r="F200" i="10" s="1"/>
  <c r="F201" i="10" s="1"/>
  <c r="F202" i="10" s="1"/>
  <c r="F203" i="10" s="1"/>
  <c r="F204" i="10" s="1"/>
  <c r="F205" i="10" s="1"/>
  <c r="E155" i="10"/>
</calcChain>
</file>

<file path=xl/sharedStrings.xml><?xml version="1.0" encoding="utf-8"?>
<sst xmlns="http://schemas.openxmlformats.org/spreadsheetml/2006/main" count="11057" uniqueCount="8278">
  <si>
    <t>1177C</t>
  </si>
  <si>
    <t>Controls camera effects?</t>
  </si>
  <si>
    <t>Starts at 9062 – set to FFFF to disable</t>
  </si>
  <si>
    <t>173E0</t>
  </si>
  <si>
    <t>Addy that sets background crowd noise (sound 33)</t>
  </si>
  <si>
    <t>Start of code that calls / runs the RNG?</t>
  </si>
  <si>
    <t>3C8E0</t>
  </si>
  <si>
    <t>Start of moveset compression table – first addy in each batch is moveslot</t>
  </si>
  <si>
    <t>PRO WRESTLING STYLE</t>
  </si>
  <si>
    <t>3CEDC</t>
  </si>
  <si>
    <t>HYBRID STYLE</t>
  </si>
  <si>
    <t>3CEDE</t>
  </si>
  <si>
    <t>Double this value and then use it in a table to determine how many bits in compressed moveset</t>
  </si>
  <si>
    <t>Points to 3D930 table</t>
  </si>
  <si>
    <t>3CEE0</t>
  </si>
  <si>
    <t>3CEE2</t>
  </si>
  <si>
    <t>3CEE6</t>
  </si>
  <si>
    <t>Start of 2nd moveslot values</t>
  </si>
  <si>
    <t>3D4EC</t>
  </si>
  <si>
    <t>SHOOT STYLE</t>
  </si>
  <si>
    <t>3D930</t>
  </si>
  <si>
    <t>Table that tells you how many bits are in each compressed move in moveset (add 5 to this value?)</t>
  </si>
  <si>
    <t>3DA3C</t>
  </si>
  <si>
    <t>MASTER MOVE MODS – list of first entries in each group – start with Weak A Grapples</t>
  </si>
  <si>
    <t>000A is Elbow</t>
  </si>
  <si>
    <t>Blocks of moves here</t>
  </si>
  <si>
    <t>Tells game where each block starts from</t>
  </si>
  <si>
    <t>3DA3E</t>
  </si>
  <si>
    <t>Next is Strong Front grapples</t>
  </si>
  <si>
    <t>0136 is Delayed Fallaway Slam</t>
  </si>
  <si>
    <t>3DB48</t>
  </si>
  <si>
    <t>Start of master move mods (see move list for addys)</t>
  </si>
  <si>
    <t>3EA8A</t>
  </si>
  <si>
    <t>End of master move mods</t>
  </si>
  <si>
    <t>3EA8C</t>
  </si>
  <si>
    <t>Start of pointers to Master move Categories</t>
  </si>
  <si>
    <t>3EA90</t>
  </si>
  <si>
    <t>Address used for movesets – is this the starting location for each of the actual MMM groups?</t>
  </si>
  <si>
    <t>Actually 3EA8C?</t>
  </si>
  <si>
    <t>3ECA0</t>
  </si>
  <si>
    <t xml:space="preserve">Table used for unpacking Parameters – first three entries relate to Fighting Style </t>
  </si>
  <si>
    <t>Pro Wrestling</t>
  </si>
  <si>
    <t>MMA / Hybrid</t>
  </si>
  <si>
    <t>Shoot</t>
  </si>
  <si>
    <t>3ECAC</t>
  </si>
  <si>
    <t>Table used for unpacking Parameters – stance</t>
  </si>
  <si>
    <t>3ED34</t>
  </si>
  <si>
    <t>Menu</t>
  </si>
  <si>
    <t>3ED36</t>
  </si>
  <si>
    <t>Sub Menu</t>
  </si>
  <si>
    <t>3ED44</t>
  </si>
  <si>
    <t>Current Match in Elimination Series?</t>
  </si>
  <si>
    <t>Takes this from later addy …</t>
  </si>
  <si>
    <t>3FAB0</t>
  </si>
  <si>
    <t>Series of pointers – starting with Misawa in offset 0x04? (ID1 = 01)</t>
  </si>
  <si>
    <t>403B0</t>
  </si>
  <si>
    <t>Table that assigns music tracks</t>
  </si>
  <si>
    <t>40438</t>
  </si>
  <si>
    <t>This is the table that assigns Sound FX to Toki1 SFX slots (first addy is Toki FX 00, second is 01, etc)</t>
  </si>
  <si>
    <t>40492</t>
  </si>
  <si>
    <t>Assigning a sound to Toki1 Sound Effect 2D (Low Crowd Noise)</t>
  </si>
  <si>
    <t>002B</t>
  </si>
  <si>
    <t>4059A</t>
  </si>
  <si>
    <t>Menu moving click</t>
  </si>
  <si>
    <t>Default is 005B</t>
  </si>
  <si>
    <t>Current Music</t>
  </si>
  <si>
    <t>408B8</t>
  </si>
  <si>
    <t>Basic Body Polygons Start</t>
  </si>
  <si>
    <t>426AE</t>
  </si>
  <si>
    <t>Last Basic Body Polygon?</t>
  </si>
  <si>
    <t>46BDC</t>
  </si>
  <si>
    <t>Guardrail Texture</t>
  </si>
  <si>
    <t>46CC8</t>
  </si>
  <si>
    <t>AKI Hall Ring Mat Texture</t>
  </si>
  <si>
    <t>46F10</t>
  </si>
  <si>
    <t>Budokan Ring Mat Texture</t>
  </si>
  <si>
    <t>46F3C</t>
  </si>
  <si>
    <t>Budokan Ring Apron Front Texture</t>
  </si>
  <si>
    <t>46F3E</t>
  </si>
  <si>
    <t>Budokan Ring Apron Right Texture</t>
  </si>
  <si>
    <t>46F40</t>
  </si>
  <si>
    <t>Budokan Ring Apron Top Texture</t>
  </si>
  <si>
    <t>46F42</t>
  </si>
  <si>
    <t>Budokan Ring Apron Left Texture</t>
  </si>
  <si>
    <t>471EC</t>
  </si>
  <si>
    <t>Kawasaki Ring Mat Texture</t>
  </si>
  <si>
    <t>4741C</t>
  </si>
  <si>
    <t>Tokyo Dome Road Ring Mat Texture</t>
  </si>
  <si>
    <t>4766C</t>
  </si>
  <si>
    <t>Tokyo Dome Ring Mat Texture</t>
  </si>
  <si>
    <t>Tokyo Dome - Ring Apron Front Texture</t>
  </si>
  <si>
    <t>Tokyo Dome - Ring Apron Right Texture</t>
  </si>
  <si>
    <t>4768A</t>
  </si>
  <si>
    <t>Tokyo Dome - Ring Apron Top Texture</t>
  </si>
  <si>
    <t>4768C</t>
  </si>
  <si>
    <t>Tokyo Dome - Ring Apron Left Texture</t>
  </si>
  <si>
    <t>478CC</t>
  </si>
  <si>
    <t>Bottom Left Turnbuckle – main post</t>
  </si>
  <si>
    <t>0544 is red, 0545 is blue, 0546 is white</t>
  </si>
  <si>
    <t>478C8</t>
  </si>
  <si>
    <t>478D0</t>
  </si>
  <si>
    <t>Dunno – but something to do with Bottom Left turnbuckle</t>
  </si>
  <si>
    <t>478D4</t>
  </si>
  <si>
    <t>Bottom Right Turnbuckle – main post</t>
  </si>
  <si>
    <t>478D8</t>
  </si>
  <si>
    <t>Dunno – but something to do with Bottom Right turnbuckle</t>
  </si>
  <si>
    <t>478DC</t>
  </si>
  <si>
    <t>Top Right Turnbuckle – main post</t>
  </si>
  <si>
    <t>T 478E0</t>
  </si>
  <si>
    <t>Dunno – but something to do with Top Right turnbuckle</t>
  </si>
  <si>
    <t>T 478E4</t>
  </si>
  <si>
    <t>Top Left Turnbuckle – main post</t>
  </si>
  <si>
    <t>T 478E8</t>
  </si>
  <si>
    <t>Dunno – but something to do with Top Left turnbuckle</t>
  </si>
  <si>
    <t>478FC</t>
  </si>
  <si>
    <t>Polygon for Centre Barricade (inward facing side) – all four sides</t>
  </si>
  <si>
    <t>0568</t>
  </si>
  <si>
    <t>478FE</t>
  </si>
  <si>
    <t>Polygon for LHS Barricade (inward facing side) – all four sides</t>
  </si>
  <si>
    <t>0569</t>
  </si>
  <si>
    <t>47900</t>
  </si>
  <si>
    <t>Polygon for RHS Barricade (inward facing side) – all four sides</t>
  </si>
  <si>
    <t>056A</t>
  </si>
  <si>
    <t>47902</t>
  </si>
  <si>
    <t>0000</t>
  </si>
  <si>
    <t>47904</t>
  </si>
  <si>
    <t>Polygon for Centre Barricade (outward facing side) – all four sides</t>
  </si>
  <si>
    <t>0565</t>
  </si>
  <si>
    <t>47906</t>
  </si>
  <si>
    <t>Polygon for LHS Barricade (outward facing side) – all four sides</t>
  </si>
  <si>
    <t>0566</t>
  </si>
  <si>
    <t>47908</t>
  </si>
  <si>
    <t>Polygon for RHS Barricade (outward facing side) – all four sides</t>
  </si>
  <si>
    <t>0567</t>
  </si>
  <si>
    <t>4790A</t>
  </si>
  <si>
    <t>4790C</t>
  </si>
  <si>
    <t>Unknown barricade poly</t>
  </si>
  <si>
    <t>056C</t>
  </si>
  <si>
    <t>4790E</t>
  </si>
  <si>
    <t>056D</t>
  </si>
  <si>
    <t>47910</t>
  </si>
  <si>
    <t>056B</t>
  </si>
  <si>
    <t>47912</t>
  </si>
  <si>
    <t>47914</t>
  </si>
  <si>
    <t>056F</t>
  </si>
  <si>
    <t>47916</t>
  </si>
  <si>
    <t>056E</t>
  </si>
  <si>
    <t>47918</t>
  </si>
  <si>
    <t>0570</t>
  </si>
  <si>
    <t>4791A</t>
  </si>
  <si>
    <t>4791C</t>
  </si>
  <si>
    <t>Texture for Centre Barricade (both sides)</t>
  </si>
  <si>
    <t>0563</t>
  </si>
  <si>
    <t>4791E</t>
  </si>
  <si>
    <t>Texture for LHS Barricade (both sides)</t>
  </si>
  <si>
    <t>47920</t>
  </si>
  <si>
    <t>Texture for RHS Barricade (both sides)</t>
  </si>
  <si>
    <t>47B78</t>
  </si>
  <si>
    <t>Ring Rope Thickness (vertical)</t>
  </si>
  <si>
    <t>47B94</t>
  </si>
  <si>
    <t>Rope Colour</t>
  </si>
  <si>
    <t>47B86</t>
  </si>
  <si>
    <t>47C0C</t>
  </si>
  <si>
    <t>Baseball Bat Poly 1</t>
  </si>
  <si>
    <t>08F8</t>
  </si>
  <si>
    <t>47C0E</t>
  </si>
  <si>
    <t>Baseball Bat Poly 2</t>
  </si>
  <si>
    <t>08FB</t>
  </si>
  <si>
    <t>47C10</t>
  </si>
  <si>
    <t>Baseball Bat Texture 1</t>
  </si>
  <si>
    <t>08F9</t>
  </si>
  <si>
    <t>47C12</t>
  </si>
  <si>
    <t>Baseball Bat Texture 2</t>
  </si>
  <si>
    <t>47C14</t>
  </si>
  <si>
    <t>Barbed Wire Bat Graphic 1</t>
  </si>
  <si>
    <t>47C16</t>
  </si>
  <si>
    <t>Barbed Wire Bat Graphic 2</t>
  </si>
  <si>
    <t>47C60</t>
  </si>
  <si>
    <t>Mist RGB Colours – start (first byte is Green mist Red value)</t>
  </si>
  <si>
    <t>47C68</t>
  </si>
  <si>
    <t>Mist RGB – Green Colours (starting with Green Mist)</t>
  </si>
  <si>
    <t>47C70</t>
  </si>
  <si>
    <t>Mist RGB – Blue Colours (starting with Green Mist)</t>
  </si>
  <si>
    <t>47C80</t>
  </si>
  <si>
    <t>Series of mist colours (00 (Green),01 (Blue),02 (Red),03 (White),04 (Magenta),05 (Black),06 (Fire))</t>
  </si>
  <si>
    <t>RNG Seed?</t>
  </si>
  <si>
    <t>Used in bloodshed too</t>
  </si>
  <si>
    <t>49990</t>
  </si>
  <si>
    <t>Tweak this value slightly to freeze the game (but you can restart it)</t>
  </si>
  <si>
    <t>4A6B8</t>
  </si>
  <si>
    <t>Doubleword used in rotation?</t>
  </si>
  <si>
    <t>4AAD0</t>
  </si>
  <si>
    <t>????</t>
  </si>
  <si>
    <t>40468000 00000000 which is 45.0</t>
  </si>
  <si>
    <t>4AAD4</t>
  </si>
  <si>
    <t>3F86C16C 16C16C17 which is 0.011111</t>
  </si>
  <si>
    <t>4AAE0</t>
  </si>
  <si>
    <t>3FD55555 55555555 which is 0.33333</t>
  </si>
  <si>
    <t>4AAE8</t>
  </si>
  <si>
    <t>4AAF0</t>
  </si>
  <si>
    <t>Wrestler Height Mod</t>
  </si>
  <si>
    <t>Should really be 0.00086805</t>
  </si>
  <si>
    <t>4AAF8</t>
  </si>
  <si>
    <t>3FEF5C28 F5C28F5C or 0.98</t>
  </si>
  <si>
    <t>0.98 Doubleword Float</t>
  </si>
  <si>
    <t>Should really be 0.9444444</t>
  </si>
  <si>
    <t>4AB00</t>
  </si>
  <si>
    <t>40718000 00000000 or 280d</t>
  </si>
  <si>
    <t>4AB08</t>
  </si>
  <si>
    <t>40568000 00000000 or 90.0d</t>
  </si>
  <si>
    <t>4AB90</t>
  </si>
  <si>
    <t>Ring Mat Springiness?  0.1 is default … 1 is rock hard, 0.0001 (3F1A36E2 EB1C432D) is bouncy</t>
  </si>
  <si>
    <t>4AB98</t>
  </si>
  <si>
    <t>4ABA0</t>
  </si>
  <si>
    <t>Ring Mat Springiness – set to 00000000 00000000 for no movement</t>
  </si>
  <si>
    <t>4AC40</t>
  </si>
  <si>
    <t>Rope Bounciness</t>
  </si>
  <si>
    <t>4AC48</t>
  </si>
  <si>
    <t>4AC50</t>
  </si>
  <si>
    <t>3FC55555 55555555</t>
  </si>
  <si>
    <t>4AC58</t>
  </si>
  <si>
    <t>4B170</t>
  </si>
  <si>
    <t>Screen Zoom in!</t>
  </si>
  <si>
    <t>BFF00000 00000000 or -1.0</t>
  </si>
  <si>
    <t>4B178</t>
  </si>
  <si>
    <t>Another screen zoom</t>
  </si>
  <si>
    <t>3FF00000 00000000 or 1.0</t>
  </si>
  <si>
    <t>Camera and zoom controls – flip / invert / upside down etc</t>
  </si>
  <si>
    <t>56FF0</t>
  </si>
  <si>
    <t>P1 Controller Input (or is it 56FD0?)</t>
  </si>
  <si>
    <t>56FF1</t>
  </si>
  <si>
    <t>P1 Controller Input</t>
  </si>
  <si>
    <t>56FF6</t>
  </si>
  <si>
    <t>P2 Controller Input</t>
  </si>
  <si>
    <t>56FFC</t>
  </si>
  <si>
    <t>P3 Controller Input</t>
  </si>
  <si>
    <t>P4 Controller Input</t>
  </si>
  <si>
    <t>571D4</t>
  </si>
  <si>
    <t>Parameter decompression – which byte?</t>
  </si>
  <si>
    <t>571D6</t>
  </si>
  <si>
    <t>Parameter decompression – which bit</t>
  </si>
  <si>
    <t>571F0</t>
  </si>
  <si>
    <t>Moveset stuff</t>
  </si>
  <si>
    <t>Also used for parameters being unpacked</t>
  </si>
  <si>
    <t>571F4</t>
  </si>
  <si>
    <t>Current compressed moveset byte being unpacked?  Goes up to AF?</t>
  </si>
  <si>
    <t>571F6</t>
  </si>
  <si>
    <t>Some sort of sub address for moveset</t>
  </si>
  <si>
    <t>704C4</t>
  </si>
  <si>
    <t>P1 Current Anim</t>
  </si>
  <si>
    <t>704C6</t>
  </si>
  <si>
    <t>P1 Current Anim Frames</t>
  </si>
  <si>
    <t>704D0</t>
  </si>
  <si>
    <t>Animation Value / used for move hacks</t>
  </si>
  <si>
    <t>704D8</t>
  </si>
  <si>
    <t>Is this the height / scale factor for this wrestler? P1</t>
  </si>
  <si>
    <t>Offset is C0</t>
  </si>
  <si>
    <t>704EC</t>
  </si>
  <si>
    <t>Height? P1</t>
  </si>
  <si>
    <t>70500</t>
  </si>
  <si>
    <t>Width? P1</t>
  </si>
  <si>
    <t>707C4</t>
  </si>
  <si>
    <t>Loads word from here as part of Toki 2 code</t>
  </si>
  <si>
    <t>8020C060</t>
  </si>
  <si>
    <t>79EAC</t>
  </si>
  <si>
    <t>Looked at this value when determining wrestler scale</t>
  </si>
  <si>
    <t>5F</t>
  </si>
  <si>
    <t>79EC0</t>
  </si>
  <si>
    <t>P3 Costume?</t>
  </si>
  <si>
    <t>7F430</t>
  </si>
  <si>
    <t>P1 Wrestler ID4 (use for activators)</t>
  </si>
  <si>
    <t>In Menus, this addy is used by all players in turn</t>
  </si>
  <si>
    <t>7F432</t>
  </si>
  <si>
    <t>P2 Wrestler ID4</t>
  </si>
  <si>
    <t>7F434</t>
  </si>
  <si>
    <t>P3 Wrestler ID4</t>
  </si>
  <si>
    <t>7F436</t>
  </si>
  <si>
    <t>P4 Wrestler ID4</t>
  </si>
  <si>
    <t>7F6A2</t>
  </si>
  <si>
    <t>As wrestlers do different types of moves and actions, these values are populated – increase as those moves are done</t>
  </si>
  <si>
    <t>For replays?</t>
  </si>
  <si>
    <t>7F962</t>
  </si>
  <si>
    <t>Approx end of above</t>
  </si>
  <si>
    <t>813E4</t>
  </si>
  <si>
    <t>Main Crowd (Farside) – polygon scaling and movement start addy – Budokan?</t>
  </si>
  <si>
    <t>814C0</t>
  </si>
  <si>
    <t>Main Crowd (Rightside) – start addy?  Budokan</t>
  </si>
  <si>
    <t>???</t>
  </si>
  <si>
    <t>8167C</t>
  </si>
  <si>
    <t>Main Crowd (Leftside) – Budokan</t>
  </si>
  <si>
    <t>819E8</t>
  </si>
  <si>
    <t>Nearside Crowd? - Budokan</t>
  </si>
  <si>
    <t>81AC8</t>
  </si>
  <si>
    <t>(0x00)</t>
  </si>
  <si>
    <t>Ring Mat – Budokan Movements – first byte here deals with layering?</t>
  </si>
  <si>
    <t>81ACC</t>
  </si>
  <si>
    <t>(0x04)</t>
  </si>
  <si>
    <t>Left / Reft Scaling – set to 0.5 to half size (3F000000) or 2.0 for double width (40000000) (Wolfpac says this is WIDTH)</t>
  </si>
  <si>
    <t>3F800000 is 1.0</t>
  </si>
  <si>
    <t>81AD0</t>
  </si>
  <si>
    <t>(0x08)</t>
  </si>
  <si>
    <t>Left / Right Tilt – set this to 1 to tilt 45 deg (rightside down), -1 (BF800000) to tilt 45 deg (leftside down)</t>
  </si>
  <si>
    <t>81AD4</t>
  </si>
  <si>
    <t>(0x0C)</t>
  </si>
  <si>
    <t>Some kind of skew – positive numbers bring front right edge towards camera and left edges away (and vice versa with negative numbers)</t>
  </si>
  <si>
    <t>81AD8</t>
  </si>
  <si>
    <t>(0x10)</t>
  </si>
  <si>
    <t>Some other skew – very small numbers needed (0.0006) – positive number means right hand edges get further apart, left edges closer</t>
  </si>
  <si>
    <t>81ADC</t>
  </si>
  <si>
    <t>(0x14)</t>
  </si>
  <si>
    <t>Left / Right Movement – positive numbers move to LEFT, neg to right</t>
  </si>
  <si>
    <t>81AE0</t>
  </si>
  <si>
    <t>(0x18)</t>
  </si>
  <si>
    <t>Height – 0000 puts it on floor, 40000000 is double height</t>
  </si>
  <si>
    <t>81AE4</t>
  </si>
  <si>
    <t>(0x1C)</t>
  </si>
  <si>
    <t>Seems to be another height mod?</t>
  </si>
  <si>
    <t>81AE8</t>
  </si>
  <si>
    <t>(0x20)</t>
  </si>
  <si>
    <t>Some sort of scale – but only seems to shrink the model</t>
  </si>
  <si>
    <t>81AEC</t>
  </si>
  <si>
    <t>(0x24)</t>
  </si>
  <si>
    <t>Some kind of skew / shear</t>
  </si>
  <si>
    <t>81AF0</t>
  </si>
  <si>
    <t>(0x28)</t>
  </si>
  <si>
    <t>Front / Back Tilt – set this to 1 to tilt 45 deg towards camera</t>
  </si>
  <si>
    <t>81AF4</t>
  </si>
  <si>
    <t>(0x2C)</t>
  </si>
  <si>
    <t>Forward / Back Scaling – set to 0.5 to half the size (Wolfpac says this is depth \ length)</t>
  </si>
  <si>
    <t>81AF8</t>
  </si>
  <si>
    <t>(0x30)</t>
  </si>
  <si>
    <t>Some kind of skew – positive numbers bring two front edges further apart and upwards, far away edges get closer and lower</t>
  </si>
  <si>
    <t>81AFC</t>
  </si>
  <si>
    <t>(0x34)</t>
  </si>
  <si>
    <t>81B00</t>
  </si>
  <si>
    <t>(0x38)</t>
  </si>
  <si>
    <t>869D8</t>
  </si>
  <si>
    <t>Ring Mat target height, current height etc</t>
  </si>
  <si>
    <t>869DC</t>
  </si>
  <si>
    <t>869E0</t>
  </si>
  <si>
    <t>86E20</t>
  </si>
  <si>
    <t>Start of addresses relating to bouncing of north ropes</t>
  </si>
  <si>
    <t>88FD0</t>
  </si>
  <si>
    <t>Stack?  Was used when determining mist colour</t>
  </si>
  <si>
    <t>8DA70</t>
  </si>
  <si>
    <t>When determining KRS rankings, saves records and percentages here temporarily</t>
  </si>
  <si>
    <t>8DACC</t>
  </si>
  <si>
    <t>Stack?  Was used in parameter unpacking</t>
  </si>
  <si>
    <t>8DBE8</t>
  </si>
  <si>
    <t>Stack?</t>
  </si>
  <si>
    <t>8DC20</t>
  </si>
  <si>
    <t>8DEC4</t>
  </si>
  <si>
    <t>Something to do with volume?  Sample rate?</t>
  </si>
  <si>
    <t>8DEE0</t>
  </si>
  <si>
    <t>Seems to count number of P1 inputs??</t>
  </si>
  <si>
    <t>906B2</t>
  </si>
  <si>
    <t>Start of P1 Moveset (in match) // 16 bit values for each move, in slots</t>
  </si>
  <si>
    <t>really 906B0 according to game</t>
  </si>
  <si>
    <t>90FA0 in No Mercy</t>
  </si>
  <si>
    <t>Close to 863F0 in WM2k</t>
  </si>
  <si>
    <t>90AFA</t>
  </si>
  <si>
    <t>Start of P2 Moveset (in match)</t>
  </si>
  <si>
    <t>Start of P3 Moveset (in match)</t>
  </si>
  <si>
    <t>Start of P4 Moveset (in match)</t>
  </si>
  <si>
    <t>917D0</t>
  </si>
  <si>
    <t>Start of Reversal Values – Reverse Type 0 – Heavy</t>
  </si>
  <si>
    <t>Multiply reversal type (00 to 05) by 720d and add to 917D0</t>
  </si>
  <si>
    <t>91AA0</t>
  </si>
  <si>
    <t>Start of Reversal Values – Reverse Type 1 – Heavy Special</t>
  </si>
  <si>
    <t>91AD70</t>
  </si>
  <si>
    <t>Start of Reversal Values – Reverse Type 2 – Junior</t>
  </si>
  <si>
    <t>Start of Reversal Values – Reverse Type 3 – Junior Special</t>
  </si>
  <si>
    <t>Start of Reversal Values – Reverse Type 4 – MMA</t>
  </si>
  <si>
    <t>925ee0</t>
  </si>
  <si>
    <t>Start of Reversal Values – Reverse Type 5 – Heel</t>
  </si>
  <si>
    <t>980A0</t>
  </si>
  <si>
    <t xml:space="preserve">Match type? This word was loaded after a tag was made, and interference check?  </t>
  </si>
  <si>
    <t>012C is singles, 02C0 is tag match, 00010008 is 3 way, 112C is RRS singles, 12CC is RRS Tag, 12CF is RRS Tag spectate, 12C0 also RRS Tag?, 12CF is RRS Tag Title match</t>
  </si>
  <si>
    <t>00020000 is Cage in WM2K</t>
  </si>
  <si>
    <t>12C0 and 112C</t>
  </si>
  <si>
    <t>980A4</t>
  </si>
  <si>
    <t>Blank?</t>
  </si>
  <si>
    <t>0000 0000</t>
  </si>
  <si>
    <t>980A8</t>
  </si>
  <si>
    <t>P1 Starting Health</t>
  </si>
  <si>
    <t>FF</t>
  </si>
  <si>
    <t>980A9</t>
  </si>
  <si>
    <t>P1 Starting Head Stamina</t>
  </si>
  <si>
    <t>32 or 50d</t>
  </si>
  <si>
    <t>980AA</t>
  </si>
  <si>
    <t>980D4</t>
  </si>
  <si>
    <t>Address used for movesets – compressed movesets start here</t>
  </si>
  <si>
    <t>Was 00, in a sea of 00s…</t>
  </si>
  <si>
    <t>99514 in No Mercy</t>
  </si>
  <si>
    <t>9819C</t>
  </si>
  <si>
    <t>Start of compressed P1 Parameters?</t>
  </si>
  <si>
    <t>981A6</t>
  </si>
  <si>
    <t>Compressed weight parameter (for 0x15 offset – first digit only)</t>
  </si>
  <si>
    <t>9B084</t>
  </si>
  <si>
    <t>P1 Controller Input???</t>
  </si>
  <si>
    <t>9B0C0</t>
  </si>
  <si>
    <t>P1 Skill Level in KRS Mode (01 to 04)?</t>
  </si>
  <si>
    <t>9B0C8</t>
  </si>
  <si>
    <t>Counts up when in wrestler intro phases (locker room, walk out, intro)</t>
  </si>
  <si>
    <t>9B150</t>
  </si>
  <si>
    <t>2004 is Z and C down</t>
  </si>
  <si>
    <t>9C1A2</t>
  </si>
  <si>
    <t>Match Results Screen – Minutes</t>
  </si>
  <si>
    <t>used in calculating message / rating</t>
  </si>
  <si>
    <t>9C1A3</t>
  </si>
  <si>
    <t>Match Results Screen – Seconds</t>
  </si>
  <si>
    <t>9C1A4</t>
  </si>
  <si>
    <t>RNG result (small number .. less than 100d) dropped in here</t>
  </si>
  <si>
    <t>9C1A5</t>
  </si>
  <si>
    <t>9C1A6</t>
  </si>
  <si>
    <t>9C1A7</t>
  </si>
  <si>
    <t>9C1A8</t>
  </si>
  <si>
    <t>9C1AA</t>
  </si>
  <si>
    <t>P2 Successful Moves Counter</t>
  </si>
  <si>
    <t>9C1B0</t>
  </si>
  <si>
    <t>P1 Successful Catch Counter</t>
  </si>
  <si>
    <t>9C1B2</t>
  </si>
  <si>
    <t>P2 Successful Catch Counter</t>
  </si>
  <si>
    <t>9C1B8</t>
  </si>
  <si>
    <t>P1 Weapon Strikes Counter?</t>
  </si>
  <si>
    <t>9C1BA</t>
  </si>
  <si>
    <t>P2 Weapon Strikes Counter</t>
  </si>
  <si>
    <t>9C1C0</t>
  </si>
  <si>
    <t>Something to do with Interference?  Probably not – used when skipping match / generating result</t>
  </si>
  <si>
    <t>9C1C8</t>
  </si>
  <si>
    <t>KRS Mode – Wrestler 1</t>
  </si>
  <si>
    <t>9C1CA</t>
  </si>
  <si>
    <t>KRS Mode – Wrestler 2</t>
  </si>
  <si>
    <t>9C1CB</t>
  </si>
  <si>
    <t>9C1CC</t>
  </si>
  <si>
    <t>Winner of Champion Carnival league stage stored here</t>
  </si>
  <si>
    <t>ID2</t>
  </si>
  <si>
    <t>9C1CD</t>
  </si>
  <si>
    <t>Runner up of Champion Carnival league stage stored here</t>
  </si>
  <si>
    <t>9C1D0</t>
  </si>
  <si>
    <t>Wrestler 1 Costume?</t>
  </si>
  <si>
    <t>9C1D1</t>
  </si>
  <si>
    <t>Wrestler 2 Costume?</t>
  </si>
  <si>
    <t>9C1D2</t>
  </si>
  <si>
    <t>Which show are we on?  01 for first show of year, 02 for second?  07 for 1st show on 2nd tour</t>
  </si>
  <si>
    <t>Was 01</t>
  </si>
  <si>
    <t>9C1D3</t>
  </si>
  <si>
    <t>Shows that have been completed?</t>
  </si>
  <si>
    <t>9C1D4</t>
  </si>
  <si>
    <t>Started event?</t>
  </si>
  <si>
    <t>9C1D5</t>
  </si>
  <si>
    <t>9C1D6</t>
  </si>
  <si>
    <t>Status for Champ Carnival, Tag League, BR</t>
  </si>
  <si>
    <t>9C1DB</t>
  </si>
  <si>
    <t>KRS Mode – Start of Singles Rankings (0x00)</t>
  </si>
  <si>
    <t>9C1DC</t>
  </si>
  <si>
    <t>2nd place</t>
  </si>
  <si>
    <t>9C1DD</t>
  </si>
  <si>
    <t>3rd place</t>
  </si>
  <si>
    <t>9C1DE</t>
  </si>
  <si>
    <t>4th place</t>
  </si>
  <si>
    <t>9C1DF</t>
  </si>
  <si>
    <t>5th place</t>
  </si>
  <si>
    <t>9C1E0</t>
  </si>
  <si>
    <t>KRS Mode – Last Place Rank in 1st Group (0x05)</t>
  </si>
  <si>
    <t>9C1E1</t>
  </si>
  <si>
    <t>KRS Mode – first place rank in 2nd Group (0x06)</t>
  </si>
  <si>
    <t>9C1E8</t>
  </si>
  <si>
    <t>KRS Mode – First Place Rank in 3rd Group</t>
  </si>
  <si>
    <t>9C1EE</t>
  </si>
  <si>
    <t>KRS Mode – Last Place Rank in 3rd Group? (0x13)</t>
  </si>
  <si>
    <t>9C1EF</t>
  </si>
  <si>
    <t>KRS Mode – First Place in Guest Singles Rankings (0x14)</t>
  </si>
  <si>
    <t>9C204 to 9C2F3 is probably singles winning percentages – 6 bytes each – so 40 wrestlers?</t>
  </si>
  <si>
    <t>0201 0000 029A</t>
  </si>
  <si>
    <t>wins, losses, draws … then win percent</t>
  </si>
  <si>
    <t>9C2F4</t>
  </si>
  <si>
    <t>KRS Mode – Start of Tag Team Rankings</t>
  </si>
  <si>
    <t>9C317</t>
  </si>
  <si>
    <t>KRS Mode – Last Entry in Tag Team Rankings</t>
  </si>
  <si>
    <t>9C318</t>
  </si>
  <si>
    <t>Winning percentages for tags?</t>
  </si>
  <si>
    <t>9C37C</t>
  </si>
  <si>
    <t>Winning percentages will be here too</t>
  </si>
  <si>
    <t>9C388</t>
  </si>
  <si>
    <t>P1 KRS Singles Win Percentage</t>
  </si>
  <si>
    <t xml:space="preserve">                      </t>
  </si>
  <si>
    <t>9C38E</t>
  </si>
  <si>
    <t>P1 KRS Tag Win Percentage</t>
  </si>
  <si>
    <t>9C390</t>
  </si>
  <si>
    <t>P1 Wins</t>
  </si>
  <si>
    <t>9C391</t>
  </si>
  <si>
    <t>P1 Losses</t>
  </si>
  <si>
    <t>9C392</t>
  </si>
  <si>
    <t>P1 Draws</t>
  </si>
  <si>
    <t>9C394</t>
  </si>
  <si>
    <t>P1 Total Win Percent</t>
  </si>
  <si>
    <t>9C396</t>
  </si>
  <si>
    <t>Triple Crown Wins</t>
  </si>
  <si>
    <t>9C397</t>
  </si>
  <si>
    <t>TC Defenses</t>
  </si>
  <si>
    <t>9C398</t>
  </si>
  <si>
    <t>World Tag Wins</t>
  </si>
  <si>
    <t>9C399</t>
  </si>
  <si>
    <t>World Tag Defences</t>
  </si>
  <si>
    <t>9C39A</t>
  </si>
  <si>
    <t>Asia Tag Wins</t>
  </si>
  <si>
    <t>9C39B</t>
  </si>
  <si>
    <t>Asia Tag Defences</t>
  </si>
  <si>
    <t>9C39C</t>
  </si>
  <si>
    <t>KRS Mode – Current Triple Crown Champion</t>
  </si>
  <si>
    <t>DB544 in ROM</t>
  </si>
  <si>
    <t>9C39D</t>
  </si>
  <si>
    <t>KRS Mode – Tag Champ 1</t>
  </si>
  <si>
    <t>9C39E</t>
  </si>
  <si>
    <t>KRS Mode – Asian Tag Champ 1</t>
  </si>
  <si>
    <t>9C39F</t>
  </si>
  <si>
    <t>KRS Mode – Tag Champ 2</t>
  </si>
  <si>
    <t>9C3A0</t>
  </si>
  <si>
    <t>KRS Mode – Asian Tag Champ 2</t>
  </si>
  <si>
    <t>9C3B0</t>
  </si>
  <si>
    <t>0x00</t>
  </si>
  <si>
    <t>P1 Movement Speed</t>
  </si>
  <si>
    <t>01, 02, 03</t>
  </si>
  <si>
    <t>9C3B1</t>
  </si>
  <si>
    <t>0x01</t>
  </si>
  <si>
    <t>P1 Reversal Style</t>
  </si>
  <si>
    <t>00, 01, 02, 03, 04, 05</t>
  </si>
  <si>
    <t>9C3B2</t>
  </si>
  <si>
    <t>0x02</t>
  </si>
  <si>
    <t>P1 Bleeding Frequency</t>
  </si>
  <si>
    <t>9C3B3</t>
  </si>
  <si>
    <t>0x03</t>
  </si>
  <si>
    <t>P1 Recovery Rate</t>
  </si>
  <si>
    <t>02, 04 or 06</t>
  </si>
  <si>
    <t>9C3B4</t>
  </si>
  <si>
    <t>0x04</t>
  </si>
  <si>
    <t>P1 Recovery Rate (Bleeding)</t>
  </si>
  <si>
    <t>01,02 or 03</t>
  </si>
  <si>
    <t>9C3B5</t>
  </si>
  <si>
    <t>0x05</t>
  </si>
  <si>
    <t>P1 Effect of Bloodshed</t>
  </si>
  <si>
    <t>00, 01, 02</t>
  </si>
  <si>
    <t>9C3B6</t>
  </si>
  <si>
    <t>0x06</t>
  </si>
  <si>
    <t>P1 Weapon Usage</t>
  </si>
  <si>
    <t>00 never,01,02,03</t>
  </si>
  <si>
    <t>9C3B7</t>
  </si>
  <si>
    <t>0x07</t>
  </si>
  <si>
    <t>P1 Recovery from Down</t>
  </si>
  <si>
    <t>9C3B8</t>
  </si>
  <si>
    <t>0x08</t>
  </si>
  <si>
    <t>Always 00, apart from Onita and Abdullah (01) – must be something to do with weapons</t>
  </si>
  <si>
    <t>9C3B9</t>
  </si>
  <si>
    <t>0x09</t>
  </si>
  <si>
    <t>P1 Favourite Weapon</t>
  </si>
  <si>
    <t>9C3BA</t>
  </si>
  <si>
    <t>0x0A</t>
  </si>
  <si>
    <t>P1 Offensive Parameter – Head</t>
  </si>
  <si>
    <t>9C3BB</t>
  </si>
  <si>
    <t>0x0B</t>
  </si>
  <si>
    <t>P1 Offensive Parameter – Body</t>
  </si>
  <si>
    <t>9C3BC</t>
  </si>
  <si>
    <t>0x0C</t>
  </si>
  <si>
    <t>P1 Offensive Parameter – Arms</t>
  </si>
  <si>
    <t>9C3BD</t>
  </si>
  <si>
    <t>0c0D</t>
  </si>
  <si>
    <t>P1 Offensive Parameter – Legs</t>
  </si>
  <si>
    <t>9C3BE</t>
  </si>
  <si>
    <t>0x0E</t>
  </si>
  <si>
    <t>P1 Offensive Parameter – Flying</t>
  </si>
  <si>
    <t>9C3BF</t>
  </si>
  <si>
    <t>0x0F</t>
  </si>
  <si>
    <r>
      <rPr>
        <sz val="10"/>
        <color rgb="FF000000"/>
        <rFont val="Arial"/>
        <family val="2"/>
      </rPr>
      <t>P1 Defensive</t>
    </r>
    <r>
      <rPr>
        <sz val="11"/>
        <color rgb="FF000000"/>
        <rFont val="Arial"/>
        <family val="2"/>
      </rPr>
      <t xml:space="preserve"> Parameter – Head</t>
    </r>
  </si>
  <si>
    <t>9C3C0</t>
  </si>
  <si>
    <t>0x10</t>
  </si>
  <si>
    <r>
      <rPr>
        <sz val="10"/>
        <color rgb="FF000000"/>
        <rFont val="Arial"/>
        <family val="2"/>
      </rPr>
      <t>P1 Defensive</t>
    </r>
    <r>
      <rPr>
        <sz val="11"/>
        <color rgb="FF000000"/>
        <rFont val="Arial"/>
        <family val="2"/>
      </rPr>
      <t xml:space="preserve"> Parameter – Body</t>
    </r>
  </si>
  <si>
    <t>9C3C1</t>
  </si>
  <si>
    <t>0x11</t>
  </si>
  <si>
    <r>
      <rPr>
        <sz val="10"/>
        <color rgb="FF000000"/>
        <rFont val="Arial"/>
        <family val="2"/>
      </rPr>
      <t>P1 Defensive</t>
    </r>
    <r>
      <rPr>
        <sz val="11"/>
        <color rgb="FF000000"/>
        <rFont val="Arial"/>
        <family val="2"/>
      </rPr>
      <t xml:space="preserve"> Parameter – Arms</t>
    </r>
  </si>
  <si>
    <t>9C3C2</t>
  </si>
  <si>
    <t>0x12</t>
  </si>
  <si>
    <r>
      <rPr>
        <sz val="10"/>
        <color rgb="FF000000"/>
        <rFont val="Arial"/>
        <family val="2"/>
      </rPr>
      <t>P1 Defensive</t>
    </r>
    <r>
      <rPr>
        <sz val="11"/>
        <color rgb="FF000000"/>
        <rFont val="Arial"/>
        <family val="2"/>
      </rPr>
      <t xml:space="preserve"> Parameter – Legs</t>
    </r>
  </si>
  <si>
    <t>9C3C3</t>
  </si>
  <si>
    <t>0x13</t>
  </si>
  <si>
    <r>
      <rPr>
        <sz val="10"/>
        <color rgb="FF000000"/>
        <rFont val="Arial"/>
        <family val="2"/>
      </rPr>
      <t>P1 Defensive</t>
    </r>
    <r>
      <rPr>
        <sz val="11"/>
        <color rgb="FF000000"/>
        <rFont val="Arial"/>
        <family val="2"/>
      </rPr>
      <t xml:space="preserve"> Parameter – Flying</t>
    </r>
  </si>
  <si>
    <t>9C3C4</t>
  </si>
  <si>
    <t>0x14</t>
  </si>
  <si>
    <t>P1 Jump Distance</t>
  </si>
  <si>
    <t>00, 01, 02, 03, 04</t>
  </si>
  <si>
    <t>9C3C5</t>
  </si>
  <si>
    <t>0x15</t>
  </si>
  <si>
    <t>P1 Weight Factor (not implemented well in VPW2)</t>
  </si>
  <si>
    <t>01, 04, 05 or 07 – divide by 3, then used in reversals and AI</t>
  </si>
  <si>
    <t>9C3C6</t>
  </si>
  <si>
    <t>0x16</t>
  </si>
  <si>
    <t>P1 Submission Skill</t>
  </si>
  <si>
    <t>9C3C7</t>
  </si>
  <si>
    <t>0x17</t>
  </si>
  <si>
    <t>Mostly 00, but 01 for many shoot / strikers and 02 for rough / heel?</t>
  </si>
  <si>
    <t>9C3C8</t>
  </si>
  <si>
    <t>0x18</t>
  </si>
  <si>
    <t>P1 Fighting Style</t>
  </si>
  <si>
    <t>00 is power, 01 is technique, 02 is flying, 03 is rough, 04 is single minded, 05 is striking</t>
  </si>
  <si>
    <t>9C3C9</t>
  </si>
  <si>
    <t>0x19</t>
  </si>
  <si>
    <t>P1 Early Stage – Standing AI</t>
  </si>
  <si>
    <t>00 for Strike, 01 for grapple, 02 for flying</t>
  </si>
  <si>
    <t>9C3CA</t>
  </si>
  <si>
    <t>0x1A</t>
  </si>
  <si>
    <t>P1 Late Stage – Standing AI</t>
  </si>
  <si>
    <t>9C3CB</t>
  </si>
  <si>
    <t>0x1B</t>
  </si>
  <si>
    <t>Always 00?</t>
  </si>
  <si>
    <t>9C3CC</t>
  </si>
  <si>
    <t>0x1C</t>
  </si>
  <si>
    <t>Finishing Move – standing type</t>
  </si>
  <si>
    <t>Looking for moveslot here – was 00 for CAW and Frye, 46 for Misawa and Norton,4D for Inoki</t>
  </si>
  <si>
    <t>9C3CE</t>
  </si>
  <si>
    <t>0x1E</t>
  </si>
  <si>
    <t>P1 Early Stage – Prone AI</t>
  </si>
  <si>
    <t>00 for striking, 01 for sub, 02 for flying, 03 for pick up</t>
  </si>
  <si>
    <t>9C3CF</t>
  </si>
  <si>
    <t>0x1F</t>
  </si>
  <si>
    <t>P1 Late Stage – Prone AI</t>
  </si>
  <si>
    <t>9C3D0</t>
  </si>
  <si>
    <t>0x20</t>
  </si>
  <si>
    <t>Finishing Move – prone type</t>
  </si>
  <si>
    <t>Moveslot ID, often 0000, F6 for Frye</t>
  </si>
  <si>
    <t>9C3D2</t>
  </si>
  <si>
    <t>0x22</t>
  </si>
  <si>
    <t>P1 Attack Balance</t>
  </si>
  <si>
    <t>00 Mostly Striking, 01 usually striking, 02 balanced, 03 usually grapple, 04 mostly grapple</t>
  </si>
  <si>
    <t>9C3D3</t>
  </si>
  <si>
    <t>0x23</t>
  </si>
  <si>
    <t>P1 Strike Response</t>
  </si>
  <si>
    <t>00 Fast, 01 Normal, 02 Slow</t>
  </si>
  <si>
    <t>9C3D4</t>
  </si>
  <si>
    <t>0x24</t>
  </si>
  <si>
    <t>P1 Grapple Response</t>
  </si>
  <si>
    <t>9C3D5</t>
  </si>
  <si>
    <t>0x25</t>
  </si>
  <si>
    <t>P1 Strategic Balance</t>
  </si>
  <si>
    <t>00 Super Offensive, 01 Offensive, 02 balanced, 03 defensive, 04 super defensive</t>
  </si>
  <si>
    <t>9C3D6</t>
  </si>
  <si>
    <t>0x26</t>
  </si>
  <si>
    <t>P1 Outside the Ring AI</t>
  </si>
  <si>
    <t>00 calm, 01 Normal, 02 aggressive, 03 extreme aggro, 04 flying</t>
  </si>
  <si>
    <t>9C3D7</t>
  </si>
  <si>
    <t>0x27</t>
  </si>
  <si>
    <t>P1 Taunt Frequency</t>
  </si>
  <si>
    <t>00 if Often, 01 is Normal, 02 don’t do</t>
  </si>
  <si>
    <t>9C3D8</t>
  </si>
  <si>
    <t>0x28</t>
  </si>
  <si>
    <t>P1 Rival 1</t>
  </si>
  <si>
    <t>9C3DA</t>
  </si>
  <si>
    <t>0x2A</t>
  </si>
  <si>
    <t>P1 Rival 2</t>
  </si>
  <si>
    <t>9C3DC</t>
  </si>
  <si>
    <t>0x2C</t>
  </si>
  <si>
    <t>P1 Rival 3</t>
  </si>
  <si>
    <t>9C3DE</t>
  </si>
  <si>
    <t>0x2E</t>
  </si>
  <si>
    <t>P1 Second</t>
  </si>
  <si>
    <t>9C3E0</t>
  </si>
  <si>
    <t>0x30</t>
  </si>
  <si>
    <t>This whole word is a bunch of P1 Options</t>
  </si>
  <si>
    <t>12A0280A</t>
  </si>
  <si>
    <t>Was looking for 04 here ...shoot style for TKO when special up</t>
  </si>
  <si>
    <t>9C3E1</t>
  </si>
  <si>
    <t>Options – Ring entry, irish whip, etc</t>
  </si>
  <si>
    <t>9028, 9128, 9080</t>
  </si>
  <si>
    <t>Covered by above addy!</t>
  </si>
  <si>
    <t>9C3E2</t>
  </si>
  <si>
    <t>Ring entry, irish whip, etc</t>
  </si>
  <si>
    <t>28, 2A, A8</t>
  </si>
  <si>
    <t>9C3E3</t>
  </si>
  <si>
    <t>More options – P1 Fighting Stance and style – 00 is normal, 02 is hybrid, 04 is shoot</t>
  </si>
  <si>
    <t>21, 11, 0A</t>
  </si>
  <si>
    <t>01 is puroresu, 02 is hybrid, 04 is shoot</t>
  </si>
  <si>
    <t>9C3E4</t>
  </si>
  <si>
    <t>0x34</t>
  </si>
  <si>
    <t>Numerous moveset flags: do they have flying moves, planchas, running grapples, etc</t>
  </si>
  <si>
    <t>Loaded this word when running – constantly</t>
  </si>
  <si>
    <t>9C3E8</t>
  </si>
  <si>
    <t>0x38</t>
  </si>
  <si>
    <t>More moveset flags</t>
  </si>
  <si>
    <t>9C3EA</t>
  </si>
  <si>
    <t>0x3A</t>
  </si>
  <si>
    <t>Always 0000?</t>
  </si>
  <si>
    <t>9C3EC</t>
  </si>
  <si>
    <t>START OF P2 PARAMETERS – P2 Movement Speed</t>
  </si>
  <si>
    <t>Offset is 3C</t>
  </si>
  <si>
    <t>9C3ED</t>
  </si>
  <si>
    <t>P2 Reversal Style</t>
  </si>
  <si>
    <t>9C3EE</t>
  </si>
  <si>
    <t>P2 Probably Bleeding</t>
  </si>
  <si>
    <t>9C3EF</t>
  </si>
  <si>
    <t>P2 Recovery Rate normal</t>
  </si>
  <si>
    <t>0201, 0402, 0603</t>
  </si>
  <si>
    <t>9C3F0</t>
  </si>
  <si>
    <t>P2 Recovery Rate when bleeding</t>
  </si>
  <si>
    <t>9C3F1</t>
  </si>
  <si>
    <t>P2 Effect of Bloodshed</t>
  </si>
  <si>
    <t>9C3F2</t>
  </si>
  <si>
    <t>9C3F3</t>
  </si>
  <si>
    <t>P2 Recovery from Down</t>
  </si>
  <si>
    <t>9C3F4</t>
  </si>
  <si>
    <t>9C3F5</t>
  </si>
  <si>
    <t>P2 Favourite Weapon?</t>
  </si>
  <si>
    <t>9C3F6</t>
  </si>
  <si>
    <t>P2 Offensive Parameter – Head</t>
  </si>
  <si>
    <t>9C3F7</t>
  </si>
  <si>
    <t>P2 Offensive Parameter – Body</t>
  </si>
  <si>
    <t>9C3F8</t>
  </si>
  <si>
    <t>P2 Offensive Parameter – Arms</t>
  </si>
  <si>
    <t>9C3F9</t>
  </si>
  <si>
    <t>P2 Offensive Parameter – Legs</t>
  </si>
  <si>
    <t>9C3FA</t>
  </si>
  <si>
    <t>P2 Offensive Parameter – Flying</t>
  </si>
  <si>
    <t>9C3FB</t>
  </si>
  <si>
    <r>
      <rPr>
        <sz val="10"/>
        <color rgb="FF000000"/>
        <rFont val="Arial"/>
        <family val="2"/>
      </rPr>
      <t>P2 Defensive</t>
    </r>
    <r>
      <rPr>
        <sz val="11"/>
        <color rgb="FF000000"/>
        <rFont val="Arial"/>
        <family val="2"/>
      </rPr>
      <t xml:space="preserve"> Parameter – Head</t>
    </r>
  </si>
  <si>
    <t>9C3FC</t>
  </si>
  <si>
    <r>
      <rPr>
        <sz val="10"/>
        <color rgb="FF000000"/>
        <rFont val="Arial"/>
        <family val="2"/>
      </rPr>
      <t>P2 Defensive</t>
    </r>
    <r>
      <rPr>
        <sz val="11"/>
        <color rgb="FF000000"/>
        <rFont val="Arial"/>
        <family val="2"/>
      </rPr>
      <t xml:space="preserve"> Parameter – Body</t>
    </r>
  </si>
  <si>
    <t>9C3FD</t>
  </si>
  <si>
    <r>
      <rPr>
        <sz val="10"/>
        <color rgb="FF000000"/>
        <rFont val="Arial"/>
        <family val="2"/>
      </rPr>
      <t>P2 Defensive</t>
    </r>
    <r>
      <rPr>
        <sz val="11"/>
        <color rgb="FF000000"/>
        <rFont val="Arial"/>
        <family val="2"/>
      </rPr>
      <t xml:space="preserve"> Parameter – Arms</t>
    </r>
  </si>
  <si>
    <t>9C3FE</t>
  </si>
  <si>
    <r>
      <rPr>
        <sz val="10"/>
        <color rgb="FF000000"/>
        <rFont val="Arial"/>
        <family val="2"/>
      </rPr>
      <t>P2 Defensive</t>
    </r>
    <r>
      <rPr>
        <sz val="11"/>
        <color rgb="FF000000"/>
        <rFont val="Arial"/>
        <family val="2"/>
      </rPr>
      <t xml:space="preserve"> Parameter – Legs</t>
    </r>
  </si>
  <si>
    <t>9C3FF</t>
  </si>
  <si>
    <r>
      <rPr>
        <sz val="10"/>
        <color rgb="FF000000"/>
        <rFont val="Arial"/>
        <family val="2"/>
      </rPr>
      <t>P2 Defensive</t>
    </r>
    <r>
      <rPr>
        <sz val="11"/>
        <color rgb="FF000000"/>
        <rFont val="Arial"/>
        <family val="2"/>
      </rPr>
      <t xml:space="preserve"> Parameter – Flying</t>
    </r>
  </si>
  <si>
    <t>9C400</t>
  </si>
  <si>
    <t>P2 Jump Distance</t>
  </si>
  <si>
    <t>9C401</t>
  </si>
  <si>
    <t>P2 This byte was used just before Grapple Move Reversal calc</t>
  </si>
  <si>
    <t>9C402</t>
  </si>
  <si>
    <t>P2 Submission Skill</t>
  </si>
  <si>
    <t>9C403</t>
  </si>
  <si>
    <t>9C404</t>
  </si>
  <si>
    <t>9C405</t>
  </si>
  <si>
    <t>9C406</t>
  </si>
  <si>
    <t>9C407</t>
  </si>
  <si>
    <t>9C408</t>
  </si>
  <si>
    <t>9C409</t>
  </si>
  <si>
    <t>9C40A</t>
  </si>
  <si>
    <t>9C40B</t>
  </si>
  <si>
    <t>9C40C</t>
  </si>
  <si>
    <t>9C40D</t>
  </si>
  <si>
    <t>9C40E</t>
  </si>
  <si>
    <t>9C40F</t>
  </si>
  <si>
    <t>9C410</t>
  </si>
  <si>
    <t>9C411</t>
  </si>
  <si>
    <t>9C412</t>
  </si>
  <si>
    <t>9C413</t>
  </si>
  <si>
    <t>9C414</t>
  </si>
  <si>
    <t>P2 Rival 1</t>
  </si>
  <si>
    <t>9C416</t>
  </si>
  <si>
    <t>P2 Rival 2</t>
  </si>
  <si>
    <t>9C418</t>
  </si>
  <si>
    <t>P2 Rival 3</t>
  </si>
  <si>
    <t>9C41A</t>
  </si>
  <si>
    <t>P2 Second</t>
  </si>
  <si>
    <t>P2 Ring Entry and Irish Whip</t>
  </si>
  <si>
    <t>9c41F</t>
  </si>
  <si>
    <t>P2 Fighting Stance</t>
  </si>
  <si>
    <t>9C4A0</t>
  </si>
  <si>
    <t>Base addy re: reversal slots</t>
  </si>
  <si>
    <t>Appears to be a reversal value for every move in P1’s moveset</t>
  </si>
  <si>
    <t>9D5C8</t>
  </si>
  <si>
    <t>P1 Low Health Indicator?  Can be TKOd</t>
  </si>
  <si>
    <t>Starts at 00, changes to 01 when Current Health is less than 25?</t>
  </si>
  <si>
    <t>Yes – see 80130720 line of code</t>
  </si>
  <si>
    <t>126844 code also relevant – sets threshold</t>
  </si>
  <si>
    <t>9D5C9</t>
  </si>
  <si>
    <t>P2 Low Health Indicator?  Can be TKOd</t>
  </si>
  <si>
    <t>9D5CA</t>
  </si>
  <si>
    <t>P3 Low Health Indicator?  Can be TKOd</t>
  </si>
  <si>
    <t>9D5CB</t>
  </si>
  <si>
    <t>P4 Low Health Indicator?  Can be TKOd</t>
  </si>
  <si>
    <t>9D5D0</t>
  </si>
  <si>
    <t>Mist Colour??</t>
  </si>
  <si>
    <t>9D5DC</t>
  </si>
  <si>
    <t>Post match results??  Zero’d at start of match skip results</t>
  </si>
  <si>
    <t>00001102 in one case</t>
  </si>
  <si>
    <t>4800 is draw, 1201 and 2201 is P1 win, 2102 and 1102 is P2 win</t>
  </si>
  <si>
    <t>9D5DE</t>
  </si>
  <si>
    <t>Something to do with post match results?</t>
  </si>
  <si>
    <t>00, 80, 20</t>
  </si>
  <si>
    <t>9D5F0</t>
  </si>
  <si>
    <t>Was 00000002</t>
  </si>
  <si>
    <t>9D60C</t>
  </si>
  <si>
    <t>Full word</t>
  </si>
  <si>
    <t>9D678</t>
  </si>
  <si>
    <t>Base addy for something (when left ring) .. whole host of moving and static floats</t>
  </si>
  <si>
    <t>A0730</t>
  </si>
  <si>
    <t>Current Wrestler in Match P1 – loads here first, then copies elsewhere</t>
  </si>
  <si>
    <t>A0734</t>
  </si>
  <si>
    <t>Current Wrestler in Match P2</t>
  </si>
  <si>
    <t>A0738</t>
  </si>
  <si>
    <t>Current Wrestler in Match P3</t>
  </si>
  <si>
    <t>A073C</t>
  </si>
  <si>
    <t>Current Wrestler in Match P4</t>
  </si>
  <si>
    <t>A0788</t>
  </si>
  <si>
    <t>Body Poly Pointer – Crotch</t>
  </si>
  <si>
    <t>A07BC</t>
  </si>
  <si>
    <t>Lower Torso</t>
  </si>
  <si>
    <t>A07F0</t>
  </si>
  <si>
    <t>Upper Torso</t>
  </si>
  <si>
    <t>A0824</t>
  </si>
  <si>
    <t>Neck</t>
  </si>
  <si>
    <t>A0858</t>
  </si>
  <si>
    <t>Back of Head</t>
  </si>
  <si>
    <t>A088C - Lower Left Leg</t>
  </si>
  <si>
    <t>A08C0 - Upper Left Leg</t>
  </si>
  <si>
    <t>A08F4 - Left Foot</t>
  </si>
  <si>
    <t>A0928 - Left Hand</t>
  </si>
  <si>
    <t>A095C - Left Fingers</t>
  </si>
  <si>
    <t>A0990 - Lower Left Arm</t>
  </si>
  <si>
    <t>A09C4 - Upper Left Arm</t>
  </si>
  <si>
    <t>A09F8 - Lower Right Leg</t>
  </si>
  <si>
    <t>A0A2C - Upper Right Leg</t>
  </si>
  <si>
    <t>A0A60 - Right Foot</t>
  </si>
  <si>
    <t>A0A94 - Lower Right Arm</t>
  </si>
  <si>
    <t>A0AC8 - Right Hand</t>
  </si>
  <si>
    <t>A0AFC - Right Fingers</t>
  </si>
  <si>
    <t>A0B30 - Upper Right Arm</t>
  </si>
  <si>
    <t>A0B64 - Face</t>
  </si>
  <si>
    <t>A1BA0</t>
  </si>
  <si>
    <t>Base for P1 Repeating Moves</t>
  </si>
  <si>
    <t>1 byte for each moveslot move</t>
  </si>
  <si>
    <t>A24B0</t>
  </si>
  <si>
    <t>Was used when slotting current wrestler details in – Elimination match</t>
  </si>
  <si>
    <t>0000 0001</t>
  </si>
  <si>
    <t>A3148</t>
  </si>
  <si>
    <t>Exhibition Match – what round did match finish in</t>
  </si>
  <si>
    <t>A314B</t>
  </si>
  <si>
    <t>Exhibition Match – Minutes</t>
  </si>
  <si>
    <t>A314C</t>
  </si>
  <si>
    <t>Exhibition Match – Total number of seconds in match</t>
  </si>
  <si>
    <t>A314E</t>
  </si>
  <si>
    <t>Exhibition Match – Finishing Move</t>
  </si>
  <si>
    <t>A24C0</t>
  </si>
  <si>
    <t>Start of Shared Damage Mods</t>
  </si>
  <si>
    <t>A3150</t>
  </si>
  <si>
    <t>Another location for post match results word?</t>
  </si>
  <si>
    <t>Was 0000 1102 in one case</t>
  </si>
  <si>
    <t>A3152</t>
  </si>
  <si>
    <t>00, 20, 80 – same as earlier one</t>
  </si>
  <si>
    <t>A3180</t>
  </si>
  <si>
    <t>Elimination match 1 – Which round did match finish in</t>
  </si>
  <si>
    <t>8 bytes per match result</t>
  </si>
  <si>
    <t>A3181</t>
  </si>
  <si>
    <t>Elimination Match 1 – Minutes</t>
  </si>
  <si>
    <t>A3182</t>
  </si>
  <si>
    <t>Elimination match 1 – Seconds</t>
  </si>
  <si>
    <t>A3183</t>
  </si>
  <si>
    <t>Elimination match 1 – Winning Team / Result</t>
  </si>
  <si>
    <t>00 for not taken place, 01 for P1 win, 02 for P2 win, 03 for draw</t>
  </si>
  <si>
    <t>A3184</t>
  </si>
  <si>
    <t>Elimination Match 1 – Finishing move</t>
  </si>
  <si>
    <t>A3186</t>
  </si>
  <si>
    <t>Elimination Match 1 – P1 wrestler no v P2 wrestler number</t>
  </si>
  <si>
    <t>A318E</t>
  </si>
  <si>
    <t>Elimination Match 2 – P1 wrestler no v P2 wrestler number</t>
  </si>
  <si>
    <t>A3196</t>
  </si>
  <si>
    <t>Elimination Match 3 – P1 wrestler no v P2 wrestler number</t>
  </si>
  <si>
    <t>A319E</t>
  </si>
  <si>
    <t>Elimination Match 4 – P1 wrestler no v P2 wrestler number</t>
  </si>
  <si>
    <t>A33B4</t>
  </si>
  <si>
    <t>Intro stages / phases (https://www.tapatalk.com/groups/vpw2dojo/viewtopic.php?p=16#p16)</t>
  </si>
  <si>
    <t>Can use this to skip intros (by telling it to skip to last stage)</t>
  </si>
  <si>
    <t>A33B8</t>
  </si>
  <si>
    <t>Match type – used for announcer call</t>
  </si>
  <si>
    <t>01 for Singles, 02 for Tag, 03 for Battle Royale, 04 for 3 Way</t>
  </si>
  <si>
    <t>A33C0</t>
  </si>
  <si>
    <t>P1 Button Control Mappings Here</t>
  </si>
  <si>
    <t># 800A33C0: P1 button/control mappings</t>
  </si>
  <si>
    <t># order: grapple, attack, run, guard/block, ducking/dodge, touch/tag, focus, flip, 0x00 byte</t>
  </si>
  <si>
    <t xml:space="preserve"># 0=A, 1=B, 2=L, 3=R, 4=C-Up, 5=C-Down, 6=C-Left, 7=C-Right </t>
  </si>
  <si>
    <t>A33C9</t>
  </si>
  <si>
    <t>P2 Button Control Mappings Here</t>
  </si>
  <si>
    <t>A35B8</t>
  </si>
  <si>
    <t>P1 Costume in Match</t>
  </si>
  <si>
    <t>00000000, 00000001, 00000002, 00000003</t>
  </si>
  <si>
    <t>A35BC</t>
  </si>
  <si>
    <t>P2 Costume in Match</t>
  </si>
  <si>
    <t>A35C0</t>
  </si>
  <si>
    <t>A35C4</t>
  </si>
  <si>
    <t>P4 Costumer in Match?</t>
  </si>
  <si>
    <t>A3FA1</t>
  </si>
  <si>
    <t>A4050</t>
  </si>
  <si>
    <t>Ref Ringout count – looked here before AI dived, and when looking at some wakeup timers</t>
  </si>
  <si>
    <t>00 is no ringout, 01 is 10 count, 02 is 20 count, 03 and 04 is ringout loss, 05 is a 3 count ringout!, 06 is 5 count, 07 is 10 count</t>
  </si>
  <si>
    <t>A4051</t>
  </si>
  <si>
    <t>Game Difficulty</t>
  </si>
  <si>
    <t>A4052</t>
  </si>
  <si>
    <t>Spirit Meter toggle</t>
  </si>
  <si>
    <t>A4053</t>
  </si>
  <si>
    <t>Referred on / off</t>
  </si>
  <si>
    <t>A4054</t>
  </si>
  <si>
    <t>Quick Replay</t>
  </si>
  <si>
    <t>A4055</t>
  </si>
  <si>
    <t>Colour Toggle</t>
  </si>
  <si>
    <t>A4056</t>
  </si>
  <si>
    <t>Stereo / Mono</t>
  </si>
  <si>
    <t>A4057</t>
  </si>
  <si>
    <t>Game Music</t>
  </si>
  <si>
    <t>A4058</t>
  </si>
  <si>
    <t>Music Volume</t>
  </si>
  <si>
    <t>A4059</t>
  </si>
  <si>
    <t>Current Stadium / Arena</t>
  </si>
  <si>
    <t>A405A</t>
  </si>
  <si>
    <t>Ruleset</t>
  </si>
  <si>
    <t>A4160</t>
  </si>
  <si>
    <t>Current Match Type</t>
  </si>
  <si>
    <t>#Current Match Type</t>
  </si>
  <si>
    <t>These all get frozen at start of match</t>
  </si>
  <si>
    <t>Current Match Type – some duplication elsewhere</t>
  </si>
  <si>
    <t>A4162</t>
  </si>
  <si>
    <t>??? - starts when game turned up, counts up constantly when in menus</t>
  </si>
  <si>
    <t>A4164</t>
  </si>
  <si>
    <t>Number of players in game mode (e.g., might be 10 in elimination mode)</t>
  </si>
  <si>
    <t>0001, 0002, 0003, 0004</t>
  </si>
  <si>
    <t>A4166</t>
  </si>
  <si>
    <t>Character Select screen – which character on current screen</t>
  </si>
  <si>
    <t>In AJPW1, Baba is 0000, Misawa is 0001</t>
  </si>
  <si>
    <t>A4168</t>
  </si>
  <si>
    <t>Character Select screen – which stable</t>
  </si>
  <si>
    <t>AJPW1 is 0000, AJPW2 is 0001</t>
  </si>
  <si>
    <t>A416A</t>
  </si>
  <si>
    <t>Character Select – which attire</t>
  </si>
  <si>
    <t>0000, 0001, 0002, 0003</t>
  </si>
  <si>
    <t>A416C</t>
  </si>
  <si>
    <t>A416E</t>
  </si>
  <si>
    <t>A4170</t>
  </si>
  <si>
    <t>Number of Players in Team 1 (Elimination Match)</t>
  </si>
  <si>
    <t>A4172</t>
  </si>
  <si>
    <t>Number of Players in Team 2 (Elimination Match)</t>
  </si>
  <si>
    <t>A4174</t>
  </si>
  <si>
    <t>Current Player in Elimination Series – P1</t>
  </si>
  <si>
    <t>Counts from 00</t>
  </si>
  <si>
    <t>A4176</t>
  </si>
  <si>
    <t>Current Player in Elimination Series – P2</t>
  </si>
  <si>
    <t>Counts from 05</t>
  </si>
  <si>
    <t>A4178</t>
  </si>
  <si>
    <t>Menu Animation – slide in from left counter</t>
  </si>
  <si>
    <t>A4180</t>
  </si>
  <si>
    <t>Is this a pointer to a stable?</t>
  </si>
  <si>
    <t>Space for 5 wrestlers for P1</t>
  </si>
  <si>
    <t>Offset is 0C between slots</t>
  </si>
  <si>
    <t>A4184</t>
  </si>
  <si>
    <t>Identifier for P1 – for previous match health: ID4, then attire byte, then 01 (for P1)</t>
  </si>
  <si>
    <t>A4188</t>
  </si>
  <si>
    <t>Player Health from previous match – starting with health</t>
  </si>
  <si>
    <t>Space for 50 wrestlers here?</t>
  </si>
  <si>
    <t>A4189</t>
  </si>
  <si>
    <t>Player Head Stamina from previous match</t>
  </si>
  <si>
    <t>A4190</t>
  </si>
  <si>
    <t>Identifier for P2 in match</t>
  </si>
  <si>
    <t>A4194</t>
  </si>
  <si>
    <t>Player Health from previous match – P2 (2nd player in team)</t>
  </si>
  <si>
    <t>A41C0</t>
  </si>
  <si>
    <t>Identifier for 6th player in match (P2’s first wrestler) – for previous match health: ID4, attire byte, then 02 (for P2)</t>
  </si>
  <si>
    <t>This is the 6th slot …  so first slot for 2nd human in Elimination match</t>
  </si>
  <si>
    <t>A41CC</t>
  </si>
  <si>
    <t>Identifier for 7th player in match (P2’s second wrestler) – for previous match health: ID4, attire byte, then 02 (for P2)</t>
  </si>
  <si>
    <t>A44A8</t>
  </si>
  <si>
    <t>P1 AI Skill Level in KRS Mode (01 to 04)?</t>
  </si>
  <si>
    <t>A44D4</t>
  </si>
  <si>
    <t>A44D8</t>
  </si>
  <si>
    <t>Ref count speed – 0000 is normal, 0008 is Johnny H speed</t>
  </si>
  <si>
    <t>THIS IS LOADED AS A 32 BIT WORD</t>
  </si>
  <si>
    <t>A44DA</t>
  </si>
  <si>
    <t>Some other match settings</t>
  </si>
  <si>
    <t>Add 40 for time limit decision, add 2 for interference, add 8 for bloodshed, add 18 for firstblood?,</t>
  </si>
  <si>
    <t>A44DB</t>
  </si>
  <si>
    <t>Fall on add 20, Give up on add 10, TKO add 1, Rope Break on add 2, Quick Match on, add 8, for texas tornado tag match add 40</t>
  </si>
  <si>
    <t>A4A80</t>
  </si>
  <si>
    <t>Match Rules</t>
  </si>
  <si>
    <t>Wrestling, Shoot (01), Tag (02), Battle Royal?</t>
  </si>
  <si>
    <t>This is all duplicated elsewhere – think it takes them from here?</t>
  </si>
  <si>
    <t>A4A81</t>
  </si>
  <si>
    <t>Time Limit</t>
  </si>
  <si>
    <t>A4A82</t>
  </si>
  <si>
    <t>Round Length</t>
  </si>
  <si>
    <t>A4A83</t>
  </si>
  <si>
    <t>Outside Count</t>
  </si>
  <si>
    <t>A4A84</t>
  </si>
  <si>
    <t>Pinfall</t>
  </si>
  <si>
    <t>00 is on, 01 is off</t>
  </si>
  <si>
    <t>A4A85</t>
  </si>
  <si>
    <t>Give Up</t>
  </si>
  <si>
    <t>A4A86</t>
  </si>
  <si>
    <t>TKO</t>
  </si>
  <si>
    <t>A4A87</t>
  </si>
  <si>
    <t>Rope Break</t>
  </si>
  <si>
    <t>A4A88</t>
  </si>
  <si>
    <t>Quick Match setting 3 of 3</t>
  </si>
  <si>
    <t>01 is off, 00 is on</t>
  </si>
  <si>
    <t>A4A89</t>
  </si>
  <si>
    <t>Blood</t>
  </si>
  <si>
    <t>00 is on, 01 is first blood, 02 is off</t>
  </si>
  <si>
    <t>A4A8A</t>
  </si>
  <si>
    <t>A4A8B</t>
  </si>
  <si>
    <t>Time Limit Decision</t>
  </si>
  <si>
    <t>A4A8C</t>
  </si>
  <si>
    <t>Interference</t>
  </si>
  <si>
    <t>A4A8D</t>
  </si>
  <si>
    <t>Tag Cut Time – Menu Setting?</t>
  </si>
  <si>
    <t>00 to 07 (no touch)</t>
  </si>
  <si>
    <t>A4A8E</t>
  </si>
  <si>
    <t>Start Points</t>
  </si>
  <si>
    <t>A4A8F</t>
  </si>
  <si>
    <t>Rope Escape</t>
  </si>
  <si>
    <t>A4A90</t>
  </si>
  <si>
    <t>Down</t>
  </si>
  <si>
    <t>A4A91</t>
  </si>
  <si>
    <t>Suplex</t>
  </si>
  <si>
    <t>A4A92</t>
  </si>
  <si>
    <t>Number of Rounds</t>
  </si>
  <si>
    <t>A4AB0</t>
  </si>
  <si>
    <t>Whether belt on the line or not (and which belt)</t>
  </si>
  <si>
    <t>FFFFFFFF (no belt), 00000000 (first belt), 00000001 (second)</t>
  </si>
  <si>
    <t>A4AC0</t>
  </si>
  <si>
    <t>Is this a base used for Damage Mods? Blank first mod</t>
  </si>
  <si>
    <t>A4AE0</t>
  </si>
  <si>
    <t>Start of P1 Damage Mods</t>
  </si>
  <si>
    <t>Offset is 4480</t>
  </si>
  <si>
    <t>A8F60</t>
  </si>
  <si>
    <t>Start of P2 Damage Mods</t>
  </si>
  <si>
    <t>A8F40 is real start</t>
  </si>
  <si>
    <t>AD3E0</t>
  </si>
  <si>
    <t>Start of P3 Damage Mods</t>
  </si>
  <si>
    <t>B1860</t>
  </si>
  <si>
    <t>Start of P4 Damage Mods</t>
  </si>
  <si>
    <t>B5CC0</t>
  </si>
  <si>
    <t>B5CC2</t>
  </si>
  <si>
    <t>Battle Royal Entrant 2 / Match participant 2</t>
  </si>
  <si>
    <t>B5D0E</t>
  </si>
  <si>
    <t>Battle Royal Entrant 40</t>
  </si>
  <si>
    <t>B5D14</t>
  </si>
  <si>
    <t>Taikai Mode arena (other modes too?)</t>
  </si>
  <si>
    <t>00 for Budoukan, 01 for Dome, 2 for AKI Hall</t>
  </si>
  <si>
    <t>B5D20</t>
  </si>
  <si>
    <t>KRS Mode – Match 1 on card – Belt graphic and title plate</t>
  </si>
  <si>
    <t>FF01 etc</t>
  </si>
  <si>
    <t>B5D32</t>
  </si>
  <si>
    <t>KRS Mode – Match 1 on card – Wrestler 1</t>
  </si>
  <si>
    <t>offset is  3A</t>
  </si>
  <si>
    <t>ALSO TAIKAI MODE MATCH 1</t>
  </si>
  <si>
    <t>B5D34</t>
  </si>
  <si>
    <t>KRS Mode – Match 1 on card – Wrestler 2</t>
  </si>
  <si>
    <t>B5D36</t>
  </si>
  <si>
    <t>KRS Mode – Match 1 on card – Wrestler 3</t>
  </si>
  <si>
    <t>B5D38</t>
  </si>
  <si>
    <t>KRS Mode – Match 1 on card – Wrestler 4</t>
  </si>
  <si>
    <t>B5D3A</t>
  </si>
  <si>
    <t>KRS Mode – Match 1 on card – Wrestler 1 is CPU or Human</t>
  </si>
  <si>
    <t>00 is CPU, 10 is Player, 20 is Partner??</t>
  </si>
  <si>
    <t>B5D3B</t>
  </si>
  <si>
    <t>KRS Mode – Match 1 on card – Wrestler 2 is CPU or Human</t>
  </si>
  <si>
    <t>0000 is CPU, 0001 is Player, 0002 is Partner</t>
  </si>
  <si>
    <t>B5D3C</t>
  </si>
  <si>
    <t>KRS Mode – Match 1 on card – Wrestler 3 is CPU or Human</t>
  </si>
  <si>
    <t>B5D3D</t>
  </si>
  <si>
    <t>KRS Mode – Match 1 on card – Wrestler 4 is CPU or Human</t>
  </si>
  <si>
    <t>B5D3E</t>
  </si>
  <si>
    <t>KRS Mode – Match 1 on card – Match Type</t>
  </si>
  <si>
    <t>2 digits here – see values later – this value used to load match options, etc</t>
  </si>
  <si>
    <t>To get these values, load last digit from Match Guide (in Event Booking Template), then get corresponding value from elsewhere … eg 50 for Champ Carnival</t>
  </si>
  <si>
    <t>B5D55</t>
  </si>
  <si>
    <t>Match 1 Minutes</t>
  </si>
  <si>
    <t>B5D56</t>
  </si>
  <si>
    <t>Match 1 Seconds</t>
  </si>
  <si>
    <t>B5D57</t>
  </si>
  <si>
    <t>Match 1 – Not happened / P1 Win / P2 Win / Draw</t>
  </si>
  <si>
    <t>B5D58</t>
  </si>
  <si>
    <t>Match 1 Finishing Move</t>
  </si>
  <si>
    <t>B5D6C</t>
  </si>
  <si>
    <t>KRS Mode – Match 2 on card – Wrestler 1</t>
  </si>
  <si>
    <t>B5DA6</t>
  </si>
  <si>
    <t>KRS Mode – Match 3 on card – Wrestler 1</t>
  </si>
  <si>
    <t>B5DE0</t>
  </si>
  <si>
    <t>KRS Mode – Match 4 on card – Wrestler 1</t>
  </si>
  <si>
    <t>B5E1A</t>
  </si>
  <si>
    <t>KRS Mode – Match 5 on card – Wrestler 1</t>
  </si>
  <si>
    <t>B5E54</t>
  </si>
  <si>
    <t>KRS Mode – Match 6 on card – Wrestler 1</t>
  </si>
  <si>
    <t>B5E8E</t>
  </si>
  <si>
    <t>KRS Mode – Match 7 on card – Wrestler 1</t>
  </si>
  <si>
    <t>B5EC8</t>
  </si>
  <si>
    <t>KRS Mode – Match 8 on card – Wrestler 1</t>
  </si>
  <si>
    <t>B5F02</t>
  </si>
  <si>
    <t>KRS Mode – Match 9 on card – Wrestler 1</t>
  </si>
  <si>
    <t>B62CA</t>
  </si>
  <si>
    <t>Tag Cut Time (after tag)</t>
  </si>
  <si>
    <t>set to 00 for no cut (sort of)! Otherwise 01 to 06</t>
  </si>
  <si>
    <t>B6E34</t>
  </si>
  <si>
    <t>Lots of addies here that change as you perform moves</t>
  </si>
  <si>
    <t>C04CE</t>
  </si>
  <si>
    <t>DD7FC</t>
  </si>
  <si>
    <t>DDB3C</t>
  </si>
  <si>
    <t>Stack stuff probably</t>
  </si>
  <si>
    <t>DDB3E</t>
  </si>
  <si>
    <t>DDB46</t>
  </si>
  <si>
    <t>DDB48</t>
  </si>
  <si>
    <t>DDB4A</t>
  </si>
  <si>
    <t>DDB4E</t>
  </si>
  <si>
    <t>DDB54</t>
  </si>
  <si>
    <t>DDB56</t>
  </si>
  <si>
    <t>DDB58</t>
  </si>
  <si>
    <t>DDB5A</t>
  </si>
  <si>
    <t>DDB5E</t>
  </si>
  <si>
    <t>DDB60</t>
  </si>
  <si>
    <t>DDB68</t>
  </si>
  <si>
    <t>DDB76</t>
  </si>
  <si>
    <t>DDB84</t>
  </si>
  <si>
    <t>DDB86</t>
  </si>
  <si>
    <t>DDB8E</t>
  </si>
  <si>
    <t>DDB92</t>
  </si>
  <si>
    <t>DDB98</t>
  </si>
  <si>
    <t>DDB9E</t>
  </si>
  <si>
    <t>EE712</t>
  </si>
  <si>
    <t>In game = Clock Textures?</t>
  </si>
  <si>
    <t>Set to C250 to remove, starts at 4350</t>
  </si>
  <si>
    <t>F058C</t>
  </si>
  <si>
    <t>Setting this instruction to NOP seems to disable camera completely</t>
  </si>
  <si>
    <t>F1E5C</t>
  </si>
  <si>
    <t>Line of code that sets floating point for camera zoom / height – change this to 4000 for nice default low cam</t>
  </si>
  <si>
    <t>F1E64</t>
  </si>
  <si>
    <t>Line of code that sets floating point for camera zoom / height</t>
  </si>
  <si>
    <t>F1E74</t>
  </si>
  <si>
    <t>F1E94</t>
  </si>
  <si>
    <t>F426C</t>
  </si>
  <si>
    <t>Instruction that makes interfering player leave ring</t>
  </si>
  <si>
    <t>F5B3A</t>
  </si>
  <si>
    <t>Where Did He Go? Animation trigger?</t>
  </si>
  <si>
    <t>Change 1EBF to 1E92 to remove</t>
  </si>
  <si>
    <t>F9E04</t>
  </si>
  <si>
    <t>Line of code that sets probability for a wake up taunt</t>
  </si>
  <si>
    <t>default is 30%</t>
  </si>
  <si>
    <t>105B44</t>
  </si>
  <si>
    <t>Values for arenas in KRS mode – value 0 – reloaded into RAM at start and end of match</t>
  </si>
  <si>
    <t>00 (budoukan)</t>
  </si>
  <si>
    <t>03 is ballpark, 04 is Dome Road</t>
  </si>
  <si>
    <t>105B45</t>
  </si>
  <si>
    <t>Value 01</t>
  </si>
  <si>
    <t>01 (Dome)</t>
  </si>
  <si>
    <t>105B46</t>
  </si>
  <si>
    <t>Value 02</t>
  </si>
  <si>
    <t>02 (AKI Hall)</t>
  </si>
  <si>
    <t>105B47</t>
  </si>
  <si>
    <t>Value 03</t>
  </si>
  <si>
    <t>105F78</t>
  </si>
  <si>
    <t xml:space="preserve">        .short 0x0016, 0xF21A, 0x0026 # baba</t>
  </si>
  <si>
    <t>Last value is time in locker room</t>
  </si>
  <si>
    <t xml:space="preserve">        .short 0x0017, 0xF21B, 0x0010 # misawa</t>
  </si>
  <si>
    <t xml:space="preserve">        .short 0x0018, 0xF21C, 0x000D # y.ogawa</t>
  </si>
  <si>
    <t xml:space="preserve">        .short 0x0019, 0xF21D, 0x0018 # kobashi</t>
  </si>
  <si>
    <t xml:space="preserve">        .short 0x001A, 0xF21E, 0x0018 # akiyama</t>
  </si>
  <si>
    <t xml:space="preserve">        .short 0x001B, 0xF21F, 0x0020 # kawada</t>
  </si>
  <si>
    <t xml:space="preserve">        .short 0x001C, 0xF220, 0x000C # taue</t>
  </si>
  <si>
    <t xml:space="preserve">        .short 0x001D, 0xF221, 0x000E # hansen</t>
  </si>
  <si>
    <t xml:space="preserve">        .short 0x001E, 0xF222, 0x0010 # ntv sports</t>
  </si>
  <si>
    <t xml:space="preserve">        .short 0x001F, 0xF223, 0x0010 # triple crown</t>
  </si>
  <si>
    <t xml:space="preserve">        .short 0x0014, 0xF224, 0x0010 # original A</t>
  </si>
  <si>
    <t xml:space="preserve">        .short 0x0015, 0xF225, 0x0010 # original B</t>
  </si>
  <si>
    <t>108AAC</t>
  </si>
  <si>
    <t>Start of Default Singles Match Rules for KRS Mode – First option is Match Type/Style</t>
  </si>
  <si>
    <t>108AAD</t>
  </si>
  <si>
    <t>Think that 0C means “Take value from booking guide”</t>
  </si>
  <si>
    <t>108AAE</t>
  </si>
  <si>
    <t>108AAF</t>
  </si>
  <si>
    <t>04 is default (no outside count)</t>
  </si>
  <si>
    <t>108AB0</t>
  </si>
  <si>
    <t>108AB1</t>
  </si>
  <si>
    <t>108AB2</t>
  </si>
  <si>
    <t>108AB3</t>
  </si>
  <si>
    <t>108AB4</t>
  </si>
  <si>
    <t>108AB5</t>
  </si>
  <si>
    <t>108AB6</t>
  </si>
  <si>
    <t>108AB7</t>
  </si>
  <si>
    <t>108AB8</t>
  </si>
  <si>
    <t>108AB9</t>
  </si>
  <si>
    <t>0x0D</t>
  </si>
  <si>
    <t>108ABA</t>
  </si>
  <si>
    <t>108ABB</t>
  </si>
  <si>
    <t>108ABC</t>
  </si>
  <si>
    <t>108ABD</t>
  </si>
  <si>
    <t>108ABE</t>
  </si>
  <si>
    <t>108ABF</t>
  </si>
  <si>
    <t>108AC0</t>
  </si>
  <si>
    <t>Start of Default Match Options for Tag Match in KRS mode</t>
  </si>
  <si>
    <t>109010</t>
  </si>
  <si>
    <t>Something to do with parameter unpacking?</t>
  </si>
  <si>
    <t>Series of addresses</t>
  </si>
  <si>
    <t>10953C</t>
  </si>
  <si>
    <t>Edit mode – linked animations?  Stylez comment</t>
  </si>
  <si>
    <t>114F78</t>
  </si>
  <si>
    <t>Arena Select Model Modifiers – Pointer to Model</t>
  </si>
  <si>
    <t>114F7C</t>
  </si>
  <si>
    <t>Pointer to individual polys</t>
  </si>
  <si>
    <t>1190D8</t>
  </si>
  <si>
    <t>1/30 seconds for intro phases – locker room, etc</t>
  </si>
  <si>
    <t>Venue Names</t>
  </si>
  <si>
    <t>115F20 – 115F2F</t>
  </si>
  <si>
    <t xml:space="preserve"> - Budokan</t>
  </si>
  <si>
    <t>115F31 – 115F40</t>
  </si>
  <si>
    <t>- TKO Dome</t>
  </si>
  <si>
    <t>115F42 – 115F51</t>
  </si>
  <si>
    <t xml:space="preserve"> - AKI Hall</t>
  </si>
  <si>
    <t>115F53 – 115F62</t>
  </si>
  <si>
    <t xml:space="preserve"> - Stadium</t>
  </si>
  <si>
    <t>115F64 – 115F73</t>
  </si>
  <si>
    <t xml:space="preserve"> - TKO Dome Road</t>
  </si>
  <si>
    <t>118A72</t>
  </si>
  <si>
    <t>11B0C2 in WM2K</t>
  </si>
  <si>
    <t>1181C8</t>
  </si>
  <si>
    <t>Weight of currently selected wrestler in edit mode?</t>
  </si>
  <si>
    <t>1267CC</t>
  </si>
  <si>
    <t>Line of code that sets probability for a hand snap after a previous hand snap</t>
  </si>
  <si>
    <t>0x258 or 600d</t>
  </si>
  <si>
    <t>12B198</t>
  </si>
  <si>
    <t>12C448</t>
  </si>
  <si>
    <t>In wrestler intros, timer for each section (locker room etc)</t>
  </si>
  <si>
    <t>12C46A</t>
  </si>
  <si>
    <t>12C4F2</t>
  </si>
  <si>
    <t>Taikai Mode attendance in 10s</t>
  </si>
  <si>
    <t>130CB0</t>
  </si>
  <si>
    <t>Part of code that moves the Spirit level when Spirit counter goes to 00</t>
  </si>
  <si>
    <t>1313CC</t>
  </si>
  <si>
    <t>Code – starting location for P3 dome road interference (first part of float)</t>
  </si>
  <si>
    <t>Code – Is this chance of spilling right over top rope rather than onto apron?</t>
  </si>
  <si>
    <t>C8 or 20%</t>
  </si>
  <si>
    <t>134F80</t>
  </si>
  <si>
    <t>Line of code that sets probability of stumbling out of corner at 30%?</t>
  </si>
  <si>
    <t>13B7E0</t>
  </si>
  <si>
    <t>Instruction that sets grapple time to 5 seconds</t>
  </si>
  <si>
    <t>13B7E4</t>
  </si>
  <si>
    <t>Instruction that sets grapple time to 7 seconds</t>
  </si>
  <si>
    <t>D2</t>
  </si>
  <si>
    <t>147(E)88</t>
  </si>
  <si>
    <t>Mask Ripping Address ?</t>
  </si>
  <si>
    <t>Default is C440</t>
  </si>
  <si>
    <t>147(E8A</t>
  </si>
  <si>
    <t>Default is 02A4, but change to 02A0</t>
  </si>
  <si>
    <t>Apparently this prevents the game from checking head health</t>
  </si>
  <si>
    <t>147(EA8</t>
  </si>
  <si>
    <t>Default is 3462</t>
  </si>
  <si>
    <t>147(EAA</t>
  </si>
  <si>
    <t>Default is 0400, change to 0000</t>
  </si>
  <si>
    <t>14CA14</t>
  </si>
  <si>
    <t>Instruction that loads attire 03 for managers</t>
  </si>
  <si>
    <t>ADDIU FP,R0,0x0003</t>
  </si>
  <si>
    <t>14CB04</t>
  </si>
  <si>
    <t>Instruction that loads Second/Manager?  Also loads interfering wrestlers…</t>
  </si>
  <si>
    <t>Addy for P3 – set to 0000 to remove second</t>
  </si>
  <si>
    <t>14CB06</t>
  </si>
  <si>
    <t>Addy for P4 – set to 0000 to remove second</t>
  </si>
  <si>
    <t>1517D4</t>
  </si>
  <si>
    <t>Word contained texture value for Fight! Graphic (4th frame)</t>
  </si>
  <si>
    <t>00044200</t>
  </si>
  <si>
    <t>151A7C</t>
  </si>
  <si>
    <t>Word contained texture value for Draw Graphic (2nd frame)</t>
  </si>
  <si>
    <t>151A82</t>
  </si>
  <si>
    <t>Draw Graphic (2nd Frame) -</t>
  </si>
  <si>
    <t>152034</t>
  </si>
  <si>
    <t>Address that sets sound for Ref One Count</t>
  </si>
  <si>
    <t>Default is sound 004F</t>
  </si>
  <si>
    <t>Ref count up to 20 is just after this</t>
  </si>
  <si>
    <t>152048</t>
  </si>
  <si>
    <t>Base for calculating action cam values to use?</t>
  </si>
  <si>
    <t>15206C</t>
  </si>
  <si>
    <t>Base for calculating action cam angle values</t>
  </si>
  <si>
    <t>152070</t>
  </si>
  <si>
    <t>Ground Grapple – zoom (also used as replay cam)</t>
  </si>
  <si>
    <t>FA or 250d</t>
  </si>
  <si>
    <t>146190 in No Mercy</t>
  </si>
  <si>
    <t>E8DD0 in VPW64</t>
  </si>
  <si>
    <t>152072</t>
  </si>
  <si>
    <t>Replay Cam 1 – zoom</t>
  </si>
  <si>
    <t>012C or 300d</t>
  </si>
  <si>
    <t>152074</t>
  </si>
  <si>
    <t>30 in Toki 1- Replay Cam 2 (and dives?) - zoom – Test of strength cam?</t>
  </si>
  <si>
    <t>152076</t>
  </si>
  <si>
    <t>152078</t>
  </si>
  <si>
    <t>TKO cam – zoom</t>
  </si>
  <si>
    <t>015E or 350d</t>
  </si>
  <si>
    <t>15207A</t>
  </si>
  <si>
    <t>60 in TOki1 – Grapple Cam (inc ground sub?)– Zoom (also one of the replay cams?  Dive cam?)</t>
  </si>
  <si>
    <t>15207C</t>
  </si>
  <si>
    <t>First replay for grapple moves?</t>
  </si>
  <si>
    <t>00FA = 250d</t>
  </si>
  <si>
    <t>15207E</t>
  </si>
  <si>
    <t>0190 or 400d</t>
  </si>
  <si>
    <t>152080</t>
  </si>
  <si>
    <t>152082</t>
  </si>
  <si>
    <t>01C2 or 450d</t>
  </si>
  <si>
    <t>152084</t>
  </si>
  <si>
    <t>152086</t>
  </si>
  <si>
    <t>Rotating cam – Zoom for combo moves, Diamond Dust, repeating part of sub, pins</t>
  </si>
  <si>
    <t>190 or 400d</t>
  </si>
  <si>
    <t>152088</t>
  </si>
  <si>
    <t>0x40</t>
  </si>
  <si>
    <t>Victory camera – zoom – also rotates (C0 in Toki1)</t>
  </si>
  <si>
    <t>15208A</t>
  </si>
  <si>
    <t>Interference Camera – Distance</t>
  </si>
  <si>
    <t>15208C</t>
  </si>
  <si>
    <t>00DC or 220d</t>
  </si>
  <si>
    <t>15208E</t>
  </si>
  <si>
    <t>152090</t>
  </si>
  <si>
    <t>Camera at start of interference?</t>
  </si>
  <si>
    <t>0258 or 600d</t>
  </si>
  <si>
    <t>152092</t>
  </si>
  <si>
    <t>152094</t>
  </si>
  <si>
    <t>Ground Grapple – height</t>
  </si>
  <si>
    <t>152096</t>
  </si>
  <si>
    <t>Replay Cam 1 – height</t>
  </si>
  <si>
    <t>152098</t>
  </si>
  <si>
    <t>Replay Cam 2 – height (and Dives?)</t>
  </si>
  <si>
    <t>0064 or 100d</t>
  </si>
  <si>
    <t>15209A</t>
  </si>
  <si>
    <t>15209C</t>
  </si>
  <si>
    <t>TKO cam – height</t>
  </si>
  <si>
    <t>15209E</t>
  </si>
  <si>
    <t>Grapple Cam (inc ground subs) – Height</t>
  </si>
  <si>
    <t>1520A0</t>
  </si>
  <si>
    <t>First replay for grapple move</t>
  </si>
  <si>
    <t>1520A2</t>
  </si>
  <si>
    <t>1520A4</t>
  </si>
  <si>
    <t>1520A6</t>
  </si>
  <si>
    <t>1520A8</t>
  </si>
  <si>
    <t>1520AA</t>
  </si>
  <si>
    <t>Combo moves, repeating subs, pins – Height</t>
  </si>
  <si>
    <t>1520AC</t>
  </si>
  <si>
    <t>Victory camera – height</t>
  </si>
  <si>
    <t>1520AE</t>
  </si>
  <si>
    <t>Interference Camera – Height</t>
  </si>
  <si>
    <t>A0 or 160d</t>
  </si>
  <si>
    <t>1520B0</t>
  </si>
  <si>
    <t>1520B2</t>
  </si>
  <si>
    <t>1520B4</t>
  </si>
  <si>
    <t>64 or 100d</t>
  </si>
  <si>
    <t>1520B6</t>
  </si>
  <si>
    <t>Blank</t>
  </si>
  <si>
    <t>1520B8</t>
  </si>
  <si>
    <t>41700000 or 15</t>
  </si>
  <si>
    <t>1520BC</t>
  </si>
  <si>
    <t>Rotation angle for interference cam 1 (top left) – 180 (43340000) would be right behind</t>
  </si>
  <si>
    <t>C1700000 or -15</t>
  </si>
  <si>
    <t>1520C0</t>
  </si>
  <si>
    <t>Rotation angle for interference cam 2 (top right)</t>
  </si>
  <si>
    <t>1520C4</t>
  </si>
  <si>
    <t>1520F0</t>
  </si>
  <si>
    <t>Light Intensity – not sure if this does anything</t>
  </si>
  <si>
    <t>FF or 255</t>
  </si>
  <si>
    <t>1520F1</t>
  </si>
  <si>
    <t>6C or 108</t>
  </si>
  <si>
    <t>1520FC</t>
  </si>
  <si>
    <t>Normally 0001 – but if you force it to 0000, disables camera – setting it to greater than 03 causes camera to start moving – this is set to 01 by code at F058C</t>
  </si>
  <si>
    <t>152114</t>
  </si>
  <si>
    <t>Tilt Angle of camera for action cam – random?</t>
  </si>
  <si>
    <t>C0A0 0000 or -5.0</t>
  </si>
  <si>
    <t>- is this camera tilt?</t>
  </si>
  <si>
    <t>152118</t>
  </si>
  <si>
    <t>15211C</t>
  </si>
  <si>
    <t>40A0 0000 or 5</t>
  </si>
  <si>
    <t>15212A</t>
  </si>
  <si>
    <t>Current Action Cam – this determines where it gets zoom and height addies from</t>
  </si>
  <si>
    <t>x2 then use offset values</t>
  </si>
  <si>
    <t>15212C</t>
  </si>
  <si>
    <t>15212E</t>
  </si>
  <si>
    <t>Which of the four sides the Action Cam will pan to</t>
  </si>
  <si>
    <t>152130</t>
  </si>
  <si>
    <t>Broad Action Code Pointers?</t>
  </si>
  <si>
    <t>1524D8</t>
  </si>
  <si>
    <t>Strong Strikes – which strike corresponds to which moveslot – no probably not</t>
  </si>
  <si>
    <t>1525ee0</t>
  </si>
  <si>
    <t>RRS Beginner Level – AI Skill 1</t>
  </si>
  <si>
    <t>0032 or 50d</t>
  </si>
  <si>
    <t>1525ee4</t>
  </si>
  <si>
    <t>RRS Beginner Level – AI Skill 2</t>
  </si>
  <si>
    <t>1525ee8</t>
  </si>
  <si>
    <t>RRS Beginner Level – AI Skill 3</t>
  </si>
  <si>
    <t>1525eeC</t>
  </si>
  <si>
    <t>RRS Beginner Level – AI Skill 4</t>
  </si>
  <si>
    <t>0096 or 150d</t>
  </si>
  <si>
    <t>1525F0</t>
  </si>
  <si>
    <t>RRS Beginner Level – AI Skill 5</t>
  </si>
  <si>
    <t>00C8 or 200</t>
  </si>
  <si>
    <t>1525F4</t>
  </si>
  <si>
    <t>RRS Easy Level – AI Skill 1</t>
  </si>
  <si>
    <t>RRS Normal Level – AI Skill 1</t>
  </si>
  <si>
    <t>15261C</t>
  </si>
  <si>
    <t>RRS Hard Level – AI Skill 1</t>
  </si>
  <si>
    <t>RRS Expert Level – AI Skill 1</t>
  </si>
  <si>
    <t>Beginner AI Level</t>
  </si>
  <si>
    <t>Easy AI Level</t>
  </si>
  <si>
    <t>15264C</t>
  </si>
  <si>
    <t>Normal AI Level</t>
  </si>
  <si>
    <t>01F4 = 500d</t>
  </si>
  <si>
    <t>Hard AI Level</t>
  </si>
  <si>
    <t>02EE or 750d</t>
  </si>
  <si>
    <t>Expert AI Level</t>
  </si>
  <si>
    <t>03E8(1,000d)</t>
  </si>
  <si>
    <t>152686</t>
  </si>
  <si>
    <t>0041</t>
  </si>
  <si>
    <t>0320</t>
  </si>
  <si>
    <t>0190 or 40%</t>
  </si>
  <si>
    <t>000A</t>
  </si>
  <si>
    <t>0023</t>
  </si>
  <si>
    <t>000F</t>
  </si>
  <si>
    <t>15274C</t>
  </si>
  <si>
    <t>Strike probability for Strike Heavy (Takayama)?</t>
  </si>
  <si>
    <t>320(800d) or 80%</t>
  </si>
  <si>
    <t>15274E</t>
  </si>
  <si>
    <t>Strike Probability for Mostly Strikes</t>
  </si>
  <si>
    <t>Strike Probability for Balanced</t>
  </si>
  <si>
    <t>1F4 or 500d</t>
  </si>
  <si>
    <t>Strike Probability for Mostly Grapples</t>
  </si>
  <si>
    <t>Strike Probability for Grapple Heavy</t>
  </si>
  <si>
    <t>C8 or 200d</t>
  </si>
  <si>
    <t>152764</t>
  </si>
  <si>
    <t>Offensive Balance set to 00, close to mid distance (Mostly striking)</t>
  </si>
  <si>
    <t>3F8CCCCD or 1.1</t>
  </si>
  <si>
    <t>152768</t>
  </si>
  <si>
    <t>Offensive Balance set to 01 (usually striking)</t>
  </si>
  <si>
    <t>3F800000 or 1.0</t>
  </si>
  <si>
    <t>15276C</t>
  </si>
  <si>
    <t>Offensive Balance set to 02 (balanced)</t>
  </si>
  <si>
    <t>3F666666 or 0.9</t>
  </si>
  <si>
    <t>152770</t>
  </si>
  <si>
    <t>Offensive Balance set to 03 (usually grapples)</t>
  </si>
  <si>
    <t>3F4CCCCD or 0.8</t>
  </si>
  <si>
    <t>152774</t>
  </si>
  <si>
    <t>Offensive Balance set to 04 (grapple  heavy)</t>
  </si>
  <si>
    <t>3F333333 or 0.7</t>
  </si>
  <si>
    <t>1527CC</t>
  </si>
  <si>
    <t>Address used when Outside the Ring AI was set to calm</t>
  </si>
  <si>
    <t>Dive / Dive Taunt / Top Rope fly, etc</t>
  </si>
  <si>
    <t>1527CE</t>
  </si>
  <si>
    <t>Address used when Outside the Ring AI was set to normal</t>
  </si>
  <si>
    <t>1527D0</t>
  </si>
  <si>
    <t>Address used when Outside the Ring AI was set to aggressive</t>
  </si>
  <si>
    <t>1527D2</t>
  </si>
  <si>
    <t>Address used when Outside the Ring AI was set to extreme aggro</t>
  </si>
  <si>
    <t>1527D4</t>
  </si>
  <si>
    <t>Address used when Outside the Ring AI was set to flying</t>
  </si>
  <si>
    <t>1527D6</t>
  </si>
  <si>
    <t>1527D8</t>
  </si>
  <si>
    <t>1527DA</t>
  </si>
  <si>
    <t>1527DC</t>
  </si>
  <si>
    <t>1527DE</t>
  </si>
  <si>
    <t>1527 ee0</t>
  </si>
  <si>
    <t>1527Etwo</t>
  </si>
  <si>
    <t>1527Efour</t>
  </si>
  <si>
    <t>2BC or 700d</t>
  </si>
  <si>
    <t>1527Esix</t>
  </si>
  <si>
    <t>01F4 or 500d</t>
  </si>
  <si>
    <t>1527Eeight</t>
  </si>
  <si>
    <t>1527EA</t>
  </si>
  <si>
    <t>1527EC</t>
  </si>
  <si>
    <t>Address used when Outside the Ring AI and didn’t dive or follow out – Appeal %</t>
  </si>
  <si>
    <t>1527EE</t>
  </si>
  <si>
    <t>1527F0</t>
  </si>
  <si>
    <t>This is the value that is constantly used when on apron for AI intention</t>
  </si>
  <si>
    <t>Addy used for taunt probability on apron</t>
  </si>
  <si>
    <t>0A or 10d</t>
  </si>
  <si>
    <t>05 or 05d</t>
  </si>
  <si>
    <t>1528D0</t>
  </si>
  <si>
    <t>Address used when Outside the Ring AI was set to calm – used in weapon grab</t>
  </si>
  <si>
    <t>1528D2</t>
  </si>
  <si>
    <t>Address used when Outside the Ring AI was set to normal – weapon grab</t>
  </si>
  <si>
    <t>1528D4</t>
  </si>
  <si>
    <t>Address used when Outside the Ring AI was set to aggressive – weapon grab</t>
  </si>
  <si>
    <t>1528D6</t>
  </si>
  <si>
    <t>Address used when Outside the Ring AI was set to extreme aggro – weapon grab</t>
  </si>
  <si>
    <t>1528D8</t>
  </si>
  <si>
    <t>Address used when Outside the Ring AI was set to flying – weapon grab</t>
  </si>
  <si>
    <t>Weapon grab – when weapon use is Never</t>
  </si>
  <si>
    <t>You multiply these values by the above values</t>
  </si>
  <si>
    <t>Weapon grab – when weapon use is Rarely</t>
  </si>
  <si>
    <t>3E99999A</t>
  </si>
  <si>
    <t>15291C</t>
  </si>
  <si>
    <t>Weapon grab – when weapon use is Normal</t>
  </si>
  <si>
    <t>Weapon grab – when weapon use is Frequent (offset 0C)</t>
  </si>
  <si>
    <t>3F800000</t>
  </si>
  <si>
    <t>152C1C</t>
  </si>
  <si>
    <t>Probability for below</t>
  </si>
  <si>
    <t>0190(400d)</t>
  </si>
  <si>
    <t>152C1E</t>
  </si>
  <si>
    <t>Move in and out / cautious approach / 33</t>
  </si>
  <si>
    <t>152C20</t>
  </si>
  <si>
    <t>152C22</t>
  </si>
  <si>
    <t>0384 or 900d</t>
  </si>
  <si>
    <t>152C24</t>
  </si>
  <si>
    <t>Move Closer Action/Intention / 31</t>
  </si>
  <si>
    <t>152C26</t>
  </si>
  <si>
    <t>152C28</t>
  </si>
  <si>
    <t>152C2A</t>
  </si>
  <si>
    <t>Back Away Action/intention 37</t>
  </si>
  <si>
    <t>152C2C</t>
  </si>
  <si>
    <t>152C30</t>
  </si>
  <si>
    <t>Probability for dash to close distance?  Depending on Parameter 15 / 3 … also used for dashing to opponent on apron?</t>
  </si>
  <si>
    <t>Divide this by 5</t>
  </si>
  <si>
    <t>152C32</t>
  </si>
  <si>
    <t>Probability for dash to close distance?  Depending on Parameter 15 / 3</t>
  </si>
  <si>
    <t>152C34</t>
  </si>
  <si>
    <t>152C36</t>
  </si>
  <si>
    <t>…</t>
  </si>
  <si>
    <t>152C38</t>
  </si>
  <si>
    <t>Start of Match – Taunt Probability (Often) – More than 250d away</t>
  </si>
  <si>
    <t>152C3A</t>
  </si>
  <si>
    <t>Start of Match – Taunt Probability (Normal) – More than 250d away</t>
  </si>
  <si>
    <t>152C3C</t>
  </si>
  <si>
    <t>Start of Match – Taunt Probability (Never?) - Morethan 250d away</t>
  </si>
  <si>
    <t>152C54</t>
  </si>
  <si>
    <t>Outside the Ring AI was set to calm – both outside – weapon usage</t>
  </si>
  <si>
    <t>152C56</t>
  </si>
  <si>
    <t>Outside the Ring AI was set to normal – both outside – weapon usage</t>
  </si>
  <si>
    <t>152C58</t>
  </si>
  <si>
    <t>Outside the Ring AI was set to aggressive  – both outside – weapon usage</t>
  </si>
  <si>
    <t>152C5A</t>
  </si>
  <si>
    <t>Outside the Ring AI was set to extreme aggro – both outside – weapon usage</t>
  </si>
  <si>
    <t>152C5C</t>
  </si>
  <si>
    <t>Outside the Ring AI was set to flying – both outside – weapon usage</t>
  </si>
  <si>
    <t>152C80</t>
  </si>
  <si>
    <t>Weapon grab – when weapon use is Never – both outside</t>
  </si>
  <si>
    <t>152C84</t>
  </si>
  <si>
    <t>Weapon grab – when weapon use is Rarely – both outside</t>
  </si>
  <si>
    <t>3E99999A or 0.3</t>
  </si>
  <si>
    <t>152C88</t>
  </si>
  <si>
    <t>Weapon grab – when weapon use is Normal – both outside</t>
  </si>
  <si>
    <t>3F19999A or 0.6</t>
  </si>
  <si>
    <t>152C8C</t>
  </si>
  <si>
    <t>Weapon grab – when weapon use is Frequent (offset 0C) – both outside</t>
  </si>
  <si>
    <t>152CB4</t>
  </si>
  <si>
    <t>Ground Grapple Face Up at Head</t>
  </si>
  <si>
    <t>00EC (moveslot)</t>
  </si>
  <si>
    <t>152CB6</t>
  </si>
  <si>
    <t>AI Intention for above</t>
  </si>
  <si>
    <t>005C</t>
  </si>
  <si>
    <t>152CB8</t>
  </si>
  <si>
    <t>Ground Grapple Face Down at Head</t>
  </si>
  <si>
    <t>00EE (moveslot)</t>
  </si>
  <si>
    <t>152CBA</t>
  </si>
  <si>
    <t>005D</t>
  </si>
  <si>
    <t>152CBC</t>
  </si>
  <si>
    <t>Ground Grapple Face Up at Legs</t>
  </si>
  <si>
    <t>00F0 (moveslot)</t>
  </si>
  <si>
    <t>152CBE</t>
  </si>
  <si>
    <t>005E</t>
  </si>
  <si>
    <t>152CC0</t>
  </si>
  <si>
    <t>Ground Grapple Face Down at Legs</t>
  </si>
  <si>
    <t>00F2 (moveslot)</t>
  </si>
  <si>
    <t>152CC2</t>
  </si>
  <si>
    <t>005F</t>
  </si>
  <si>
    <t>152CC4</t>
  </si>
  <si>
    <t>Upper Body Submission Sitting Up</t>
  </si>
  <si>
    <t>00F4 (moveslot)</t>
  </si>
  <si>
    <t>152CC6</t>
  </si>
  <si>
    <t>006B</t>
  </si>
  <si>
    <t>152CC8</t>
  </si>
  <si>
    <t>Upper Body Submission on All Fours</t>
  </si>
  <si>
    <t>00F6 (moveslot)</t>
  </si>
  <si>
    <t>152CCA</t>
  </si>
  <si>
    <t>006C</t>
  </si>
  <si>
    <t>152CCC</t>
  </si>
  <si>
    <t>Lower Body Submission Sitting Up</t>
  </si>
  <si>
    <t>00F8 (moveslot)</t>
  </si>
  <si>
    <t>152CCE</t>
  </si>
  <si>
    <t>006D</t>
  </si>
  <si>
    <t>152CD0</t>
  </si>
  <si>
    <t>Lower Body Submission on All Fours</t>
  </si>
  <si>
    <t>00FA (moveslot)</t>
  </si>
  <si>
    <t>152CD2</t>
  </si>
  <si>
    <t>006E</t>
  </si>
  <si>
    <t>152E20</t>
  </si>
  <si>
    <t>Large block of code pointers used in AI (first addy in AI map points here)</t>
  </si>
  <si>
    <t>17 x 8 pointers here, 136 different options</t>
  </si>
  <si>
    <t>I think these are subroutines for each AI Broad Action</t>
  </si>
  <si>
    <t>153198</t>
  </si>
  <si>
    <t>Time delay before inputting grapple … depends on wrestler weight parameter</t>
  </si>
  <si>
    <t>1531A2</t>
  </si>
  <si>
    <t>Again based on weight – second timer for inputting grapple … so two values here (again, depends on weight)</t>
  </si>
  <si>
    <t>Think this is delay before choosing grapple move?</t>
  </si>
  <si>
    <t>1531C0</t>
  </si>
  <si>
    <t>Used when choosing grapple – is this grapple move choices?</t>
  </si>
  <si>
    <t>Think second 16 bit value might be D pad / button combo required by AI</t>
  </si>
  <si>
    <t>In ring Address used when Outside the Ring AI was set to calm</t>
  </si>
  <si>
    <t>In ring Address used when Outside the Ring AI was set to normal</t>
  </si>
  <si>
    <t>In ring Address used when Outside the Ring AI was set to aggressive</t>
  </si>
  <si>
    <t>15326A</t>
  </si>
  <si>
    <t>In ring Address used when Outside the Ring AI was set to extreme aggro</t>
  </si>
  <si>
    <t>96 or 150d</t>
  </si>
  <si>
    <t>15326C</t>
  </si>
  <si>
    <t>In ring Address used when Outside the Ring AI was set to flying</t>
  </si>
  <si>
    <t>Collision Coordinates</t>
  </si>
  <si>
    <t>End of Collision Coordinates</t>
  </si>
  <si>
    <t>1535C0</t>
  </si>
  <si>
    <t>Bloodshed affect on spirit (-1)</t>
  </si>
  <si>
    <t>FF or -1</t>
  </si>
  <si>
    <t>1535C1</t>
  </si>
  <si>
    <t>Bloodshed affect on spirit (no effect)</t>
  </si>
  <si>
    <t>zero</t>
  </si>
  <si>
    <t>1535C2</t>
  </si>
  <si>
    <t>Bloodshed affect on spirit (+1)</t>
  </si>
  <si>
    <t>1535C3</t>
  </si>
  <si>
    <t>1535C4</t>
  </si>
  <si>
    <t>Expert v Expert submission bonus (none)</t>
  </si>
  <si>
    <t>1535C8</t>
  </si>
  <si>
    <r>
      <rPr>
        <sz val="11"/>
        <color rgb="FF000000"/>
        <rFont val="Calibri"/>
        <family val="2"/>
      </rPr>
      <t>Expert v Normal</t>
    </r>
    <r>
      <rPr>
        <b/>
        <sz val="11"/>
        <color rgb="FF000000"/>
        <rFont val="Arial"/>
        <family val="2"/>
      </rPr>
      <t xml:space="preserve"> </t>
    </r>
    <r>
      <rPr>
        <sz val="11"/>
        <color rgb="FF000000"/>
        <rFont val="Arial"/>
        <family val="2"/>
      </rPr>
      <t>submission bonus</t>
    </r>
  </si>
  <si>
    <t>3F000000 is 0.5</t>
  </si>
  <si>
    <t>1535CC</t>
  </si>
  <si>
    <t>Expert v Novice submission bonus</t>
  </si>
  <si>
    <t>1535D0</t>
  </si>
  <si>
    <t>Normal v Expert submission mod</t>
  </si>
  <si>
    <t>BE999999A is -0.3</t>
  </si>
  <si>
    <t>1535D4</t>
  </si>
  <si>
    <t>Normal v Normal submission bonus (none)</t>
  </si>
  <si>
    <t>1535D8</t>
  </si>
  <si>
    <t>Normal v Novice submission bonus</t>
  </si>
  <si>
    <t>3E99999A is 0.3</t>
  </si>
  <si>
    <t>1535DC</t>
  </si>
  <si>
    <t>Novice v Expert – submission modifier</t>
  </si>
  <si>
    <t>BF000000 is -0.5</t>
  </si>
  <si>
    <t>1535 ee0</t>
  </si>
  <si>
    <t>Novice v Normal submission mod</t>
  </si>
  <si>
    <t>1535 ee4</t>
  </si>
  <si>
    <t>Novice v Novice submission bonus (none)</t>
  </si>
  <si>
    <t>1535 ee 8</t>
  </si>
  <si>
    <t>Used in Pinfall damage calculation</t>
  </si>
  <si>
    <t>000F000A – if damage less than or equal to 15, add 10 ticks</t>
  </si>
  <si>
    <t>1535 ee C</t>
  </si>
  <si>
    <t>001E000F – if damage less than or equal to 30, add 15 ticks</t>
  </si>
  <si>
    <t>1535F0</t>
  </si>
  <si>
    <t>002D0014 – if damage less than or equal to 45, add 20 ticks</t>
  </si>
  <si>
    <t>1535F4</t>
  </si>
  <si>
    <t>If damage above 45 but less than 9,999, add 25 ticks</t>
  </si>
  <si>
    <t>1535F8</t>
  </si>
  <si>
    <t>Ground grapple reversal – comparison with recipient spirit</t>
  </si>
  <si>
    <t>0064 – 100% spirit</t>
  </si>
  <si>
    <t>80147724 in No Mercy?</t>
  </si>
  <si>
    <t>1535FA</t>
  </si>
  <si>
    <t>If 100% spirit, use this value</t>
  </si>
  <si>
    <t>1535FC</t>
  </si>
  <si>
    <t>Was 0051 – 81% spirit</t>
  </si>
  <si>
    <t>1535FE</t>
  </si>
  <si>
    <t>If more than 81% spirit (but less than 100%), use this value</t>
  </si>
  <si>
    <t>014D = 333d</t>
  </si>
  <si>
    <t>Was 003D – which is 61% spirit</t>
  </si>
  <si>
    <t>If more than 61% spirit (but less than 81%), use this value</t>
  </si>
  <si>
    <t>Was 001F (this was later compared to ..) 31% spirit</t>
  </si>
  <si>
    <t>If more than 31% spirit (but less than 61%), use this value</t>
  </si>
  <si>
    <t>Was 007D (this was later compared to an RNG halfword): 125d</t>
  </si>
  <si>
    <t>000B – 11% spirit</t>
  </si>
  <si>
    <t>15360A</t>
  </si>
  <si>
    <t>If more than 11% spirit (but less than 31%), use this value</t>
  </si>
  <si>
    <t>003E = 62d</t>
  </si>
  <si>
    <t>15360C</t>
  </si>
  <si>
    <t>15360E</t>
  </si>
  <si>
    <t>If less than 11% spirit, use this value</t>
  </si>
  <si>
    <t>1F = 31d</t>
  </si>
  <si>
    <t>Grapple Move reversal – comparison with recipeint spirit</t>
  </si>
  <si>
    <t>Also used for apron grapple</t>
  </si>
  <si>
    <t>Also sometimes used as a base addy for Grapple Move Reversal</t>
  </si>
  <si>
    <t>15361A</t>
  </si>
  <si>
    <t>15361C</t>
  </si>
  <si>
    <t>15361E</t>
  </si>
  <si>
    <t>7D: 125d</t>
  </si>
  <si>
    <t>C4 (196d)</t>
  </si>
  <si>
    <t>15362C</t>
  </si>
  <si>
    <t>407A0000 or 3.9</t>
  </si>
  <si>
    <t>0080 (128d)</t>
  </si>
  <si>
    <t>40FA0000 or 7.812</t>
  </si>
  <si>
    <t>0040 (64d)</t>
  </si>
  <si>
    <t>15363C</t>
  </si>
  <si>
    <t>417A0000 or 15.62</t>
  </si>
  <si>
    <t>0020 (32d)</t>
  </si>
  <si>
    <t>41FA0000 or 31.25</t>
  </si>
  <si>
    <t>15364C</t>
  </si>
  <si>
    <t>427A0000 or 62.5</t>
  </si>
  <si>
    <t>If Spirit is 100…</t>
  </si>
  <si>
    <t>Percentage chance of hooking rope?</t>
  </si>
  <si>
    <t>If Spirit is between 81 and 99…</t>
  </si>
  <si>
    <t>51 or 81d</t>
  </si>
  <si>
    <t>If Spirit is between 61 and 80</t>
  </si>
  <si>
    <t>3D or 61d</t>
  </si>
  <si>
    <t>15365A</t>
  </si>
  <si>
    <t>15365C</t>
  </si>
  <si>
    <t>If Spirit is between 31 and 60</t>
  </si>
  <si>
    <t>1F or 31d</t>
  </si>
  <si>
    <t>15365E</t>
  </si>
  <si>
    <t>If Spirit is between 11 and 30</t>
  </si>
  <si>
    <t>0B or 11d</t>
  </si>
  <si>
    <t>If Spirit is 10 or less…</t>
  </si>
  <si>
    <t>Value used in Quickmatch for TKO – P2 Health is greater than</t>
  </si>
  <si>
    <t>15366C</t>
  </si>
  <si>
    <t>Float used for above</t>
  </si>
  <si>
    <t>42FA0000 or 125d</t>
  </si>
  <si>
    <t>Value used in Quickmatch for TKO – P2 Health is greater than…</t>
  </si>
  <si>
    <t>437A0000 or 250d</t>
  </si>
  <si>
    <t>15367C</t>
  </si>
  <si>
    <t>43FA0000 or 500d</t>
  </si>
  <si>
    <t>0000 or 0</t>
  </si>
  <si>
    <t>447A0000 or 1,000d</t>
  </si>
  <si>
    <t>Value used when checking whether stand up dizzy – health greater than 128d</t>
  </si>
  <si>
    <t>0080 or 128d</t>
  </si>
  <si>
    <t>15368C</t>
  </si>
  <si>
    <t>42000000 or 32d</t>
  </si>
  <si>
    <t>Value used when checking whether stand up dizzy – health less than 128d</t>
  </si>
  <si>
    <t>Float used in TKO calculation???  Or when health is less than 128d and dizzy stand up roll?</t>
  </si>
  <si>
    <t>41800000 (16d)</t>
  </si>
  <si>
    <t>447a0000 would be 1000</t>
  </si>
  <si>
    <t>801477A0 in No Mercy</t>
  </si>
  <si>
    <t>Float used in TKO calculation – TKO 01 power?</t>
  </si>
  <si>
    <t>43050000 (133d)</t>
  </si>
  <si>
    <t>15369C</t>
  </si>
  <si>
    <t>Float used in TKO calculation – TKO 02 power?</t>
  </si>
  <si>
    <t>4326 0000 (166d)</t>
  </si>
  <si>
    <t>1536A0</t>
  </si>
  <si>
    <t>Float used in TKO calculation – TKO 03 power</t>
  </si>
  <si>
    <t>435E0000 (222d)</t>
  </si>
  <si>
    <t>1536A4</t>
  </si>
  <si>
    <t>Float used in TKO calculation – TKO 04 power?</t>
  </si>
  <si>
    <t>43A68000 (333d)</t>
  </si>
  <si>
    <t>1536A8</t>
  </si>
  <si>
    <t>Float used in TKO calculation – TKO 05 power?</t>
  </si>
  <si>
    <t>44268000 (666d)</t>
  </si>
  <si>
    <t>1536AD</t>
  </si>
  <si>
    <t>Value used when Recovery From Down is 01</t>
  </si>
  <si>
    <t>11 (17d)</t>
  </si>
  <si>
    <t>1536AE</t>
  </si>
  <si>
    <t>Value used when Recovery From Down is 02</t>
  </si>
  <si>
    <t>0C (12d)</t>
  </si>
  <si>
    <t>1536AF</t>
  </si>
  <si>
    <t>Value used when Recovery From Down is 03</t>
  </si>
  <si>
    <t>08 (8d)</t>
  </si>
  <si>
    <t>When lifting P2 from prone, counter chance depends on P2 Spirit – if 100%</t>
  </si>
  <si>
    <t>64 or 100d Spirit</t>
  </si>
  <si>
    <t>… then reversal chance is …</t>
  </si>
  <si>
    <t>258 or 60%</t>
  </si>
  <si>
    <t>When lifting P2 from prone, counter chance depends on P2 Spirit – if 80%</t>
  </si>
  <si>
    <t>0050 or 80d Spirit</t>
  </si>
  <si>
    <t>15371A</t>
  </si>
  <si>
    <t>15371C</t>
  </si>
  <si>
    <t>When lifting P2 from prone, counter chance depends on P2 Spirit – if 60%</t>
  </si>
  <si>
    <t>3C or 60d Spirit</t>
  </si>
  <si>
    <t>15371E</t>
  </si>
  <si>
    <t>12C or 30%</t>
  </si>
  <si>
    <t>When lifting P2 from prone, counter chance depends on P2 Spirit – if 40%</t>
  </si>
  <si>
    <t>28 or 40d Spirit</t>
  </si>
  <si>
    <t>When lifting P2 from prone, counter chance depends on P2 Spirit – if 0%</t>
  </si>
  <si>
    <t>64 or 10%</t>
  </si>
  <si>
    <t>If Wakeup Timer is higher than 120 ticks (dizzy counter)…</t>
  </si>
  <si>
    <t>78 or 120 ticks</t>
  </si>
  <si>
    <t>Applies to strikes and grapples – and presumably go behind arm raise counter</t>
  </si>
  <si>
    <t>15372A</t>
  </si>
  <si>
    <t>… counter chance is …</t>
  </si>
  <si>
    <t>15372C</t>
  </si>
  <si>
    <t>If Wakeup Timer is higher than 60 ticks (dizzy counter)…</t>
  </si>
  <si>
    <t>3C or 60 ticks</t>
  </si>
  <si>
    <t>15372E</t>
  </si>
  <si>
    <t>7D or 12.5%</t>
  </si>
  <si>
    <t>If Wakeup Timer is higher than 45 ticks (dizzy counter)…</t>
  </si>
  <si>
    <t>2D or 45 ticks</t>
  </si>
  <si>
    <t>A6 or 16.6%</t>
  </si>
  <si>
    <t>If Wakeup Timer is higher than 30 ticks (dizzy counter)…</t>
  </si>
  <si>
    <t>1E or 30 ticks</t>
  </si>
  <si>
    <t>DE or 22.2%</t>
  </si>
  <si>
    <t>If Wakeup Timer is higher than 15 ticks (dizzy counter)…</t>
  </si>
  <si>
    <t>F or 15 ticks</t>
  </si>
  <si>
    <t>15373A</t>
  </si>
  <si>
    <t>14D or 33.3%</t>
  </si>
  <si>
    <t>15373C</t>
  </si>
  <si>
    <t>If Wakeup Timer is less than 15 ticks (dizzy counter)…</t>
  </si>
  <si>
    <t>15373E</t>
  </si>
  <si>
    <t>29A or 66.6%</t>
  </si>
  <si>
    <t>1537DC</t>
  </si>
  <si>
    <t>Crowd ONE! Sound</t>
  </si>
  <si>
    <t>1537DE</t>
  </si>
  <si>
    <t>Crowd TWO! Sound</t>
  </si>
  <si>
    <t>1537E0</t>
  </si>
  <si>
    <t>Crowd THREE! Sound</t>
  </si>
  <si>
    <t>P1 Start Position X (1 v 1 Match)</t>
  </si>
  <si>
    <t>All these start positions are only loaded in after all intros</t>
  </si>
  <si>
    <t>P1 Start Position Z (1 v 1 Match)</t>
  </si>
  <si>
    <t>P2 Start Position X (1 v 1 Match)</t>
  </si>
  <si>
    <t>15380C</t>
  </si>
  <si>
    <t>P2 Start Position Z (1 v 1 Match)</t>
  </si>
  <si>
    <t>P3 (Manager) Position Z (1 v 1 Match)</t>
  </si>
  <si>
    <t>15381C</t>
  </si>
  <si>
    <t>P4 (Manager) Position Z (1 v 1 Match)</t>
  </si>
  <si>
    <t>P1 Start Position X (3 Way / Battle Royal)</t>
  </si>
  <si>
    <t>P1 Start Position Z (3 Way / Battle Royal)</t>
  </si>
  <si>
    <t>P2 Start Position X (3 Way / Battle Royal)</t>
  </si>
  <si>
    <t>15382C</t>
  </si>
  <si>
    <t>P2 Start Position Z (3 Way / Battle Royal)</t>
  </si>
  <si>
    <t>P3 Start Position X (3 Way / Battle Royal)</t>
  </si>
  <si>
    <t>P3 Start Position Z (3 Way / Battle Royal)</t>
  </si>
  <si>
    <t>P4 Start Position X (Battle Royal)</t>
  </si>
  <si>
    <t>15383C</t>
  </si>
  <si>
    <t>P1 Start Position X (No Touch Tag)</t>
  </si>
  <si>
    <t>P1 Start Position Z (No Touch Tag)</t>
  </si>
  <si>
    <t>P2 Start Position X (No Touch Tag)</t>
  </si>
  <si>
    <t>15384C</t>
  </si>
  <si>
    <t>P2 Start Position Z (No Touch Tag)</t>
  </si>
  <si>
    <t>P3 Start Position X (No Touch Tag)</t>
  </si>
  <si>
    <t>P3 Start Position Z (No Touch Tag)</t>
  </si>
  <si>
    <t>P4 Start Position X (No Touch Tag)</t>
  </si>
  <si>
    <t>15385C</t>
  </si>
  <si>
    <t>P1 Start Position X (Tag)</t>
  </si>
  <si>
    <t>P1 Start Position Z (Tag)</t>
  </si>
  <si>
    <t>15386C</t>
  </si>
  <si>
    <t>P3 Start Position X (Tag)</t>
  </si>
  <si>
    <t>P3 Start Position Z (Tag)</t>
  </si>
  <si>
    <t>15387C</t>
  </si>
  <si>
    <t>P2 (P1 Partner) Start Position X (Tag)</t>
  </si>
  <si>
    <t>P2 (P1 Partner) Start Position Z (Tag)</t>
  </si>
  <si>
    <t>1538C0</t>
  </si>
  <si>
    <t>1538C4</t>
  </si>
  <si>
    <t>1538C8</t>
  </si>
  <si>
    <t>1538CC</t>
  </si>
  <si>
    <t>1538D0</t>
  </si>
  <si>
    <t>1538D4</t>
  </si>
  <si>
    <t>1538D8</t>
  </si>
  <si>
    <t>1538Dc</t>
  </si>
  <si>
    <t>E0</t>
  </si>
  <si>
    <t>E4</t>
  </si>
  <si>
    <t>E8</t>
  </si>
  <si>
    <t>1538EC</t>
  </si>
  <si>
    <t>1538F0</t>
  </si>
  <si>
    <t>1538F4</t>
  </si>
  <si>
    <t>1538F8</t>
  </si>
  <si>
    <t>Was used in Interference calc? When health at zero and taking beating, loaded this</t>
  </si>
  <si>
    <t>P1? 10</t>
  </si>
  <si>
    <t>P2? 20</t>
  </si>
  <si>
    <t>P3? 40</t>
  </si>
  <si>
    <t>P4? 80</t>
  </si>
  <si>
    <t>Was used in Interference calc?</t>
  </si>
  <si>
    <t>153A78</t>
  </si>
  <si>
    <t>Start of percentage values used for stumble backwards after strike? - 0x16 displacement between number of hits received?</t>
  </si>
  <si>
    <t>80153A18</t>
  </si>
  <si>
    <t>153A7C</t>
  </si>
  <si>
    <t>80153A20</t>
  </si>
  <si>
    <t>153A80</t>
  </si>
  <si>
    <t>Health values for stumble back calculation</t>
  </si>
  <si>
    <t>153A82</t>
  </si>
  <si>
    <t>153A84</t>
  </si>
  <si>
    <t>153A86</t>
  </si>
  <si>
    <t>153A88</t>
  </si>
  <si>
    <t>Weak strike – high health – start of strike sequence?</t>
  </si>
  <si>
    <t>Chance of not stumbling backwards?</t>
  </si>
  <si>
    <t>Defender Health = Greater than 127 out of 255</t>
  </si>
  <si>
    <t>153A8A</t>
  </si>
  <si>
    <t>Hits in Quick Succession</t>
  </si>
  <si>
    <t>Chance of Stumbling Back</t>
  </si>
  <si>
    <t>153A8C</t>
  </si>
  <si>
    <t>0320 or 800d</t>
  </si>
  <si>
    <t>1st Hit</t>
  </si>
  <si>
    <t>153A8E</t>
  </si>
  <si>
    <t>00C8 or 200d</t>
  </si>
  <si>
    <t>2nd Hit</t>
  </si>
  <si>
    <t>153A90</t>
  </si>
  <si>
    <t>02BC or 700d</t>
  </si>
  <si>
    <t>3rd Hit</t>
  </si>
  <si>
    <t>153A92</t>
  </si>
  <si>
    <t>4th Hit onwards</t>
  </si>
  <si>
    <t>153A94</t>
  </si>
  <si>
    <t>0226 or 550d</t>
  </si>
  <si>
    <t>153A96</t>
  </si>
  <si>
    <t>Defender Health = 64 to 127</t>
  </si>
  <si>
    <t>153A98</t>
  </si>
  <si>
    <r>
      <rPr>
        <sz val="11"/>
        <color rgb="FF000000"/>
        <rFont val="Calibri"/>
        <family val="2"/>
      </rPr>
      <t>High health - 2</t>
    </r>
    <r>
      <rPr>
        <vertAlign val="superscript"/>
        <sz val="11"/>
        <color rgb="FF000000"/>
        <rFont val="Calibri"/>
        <family val="2"/>
      </rPr>
      <t>nd</t>
    </r>
    <r>
      <rPr>
        <sz val="11"/>
        <color rgb="FF000000"/>
        <rFont val="Calibri"/>
        <family val="2"/>
      </rPr>
      <t xml:space="preserve"> strike in quick succession</t>
    </r>
  </si>
  <si>
    <t>153A9A</t>
  </si>
  <si>
    <t>153A9C</t>
  </si>
  <si>
    <t>153A9E</t>
  </si>
  <si>
    <t>153AA0</t>
  </si>
  <si>
    <t>153AA2</t>
  </si>
  <si>
    <t>153AA4</t>
  </si>
  <si>
    <t>Defender Health = 32 to 63</t>
  </si>
  <si>
    <t>153AA6</t>
  </si>
  <si>
    <t>153AA8</t>
  </si>
  <si>
    <r>
      <rPr>
        <sz val="11"/>
        <color rgb="FF000000"/>
        <rFont val="Calibri"/>
        <family val="2"/>
      </rPr>
      <t>High health - 3</t>
    </r>
    <r>
      <rPr>
        <vertAlign val="superscript"/>
        <sz val="11"/>
        <color rgb="FF000000"/>
        <rFont val="Calibri"/>
        <family val="2"/>
      </rPr>
      <t>rd</t>
    </r>
    <r>
      <rPr>
        <sz val="11"/>
        <color rgb="FF000000"/>
        <rFont val="Calibri"/>
        <family val="2"/>
      </rPr>
      <t xml:space="preserve"> strike in quick succession</t>
    </r>
  </si>
  <si>
    <t>153AAA</t>
  </si>
  <si>
    <t>153AAC</t>
  </si>
  <si>
    <t>153AAE</t>
  </si>
  <si>
    <t>153AB0</t>
  </si>
  <si>
    <t>153AB2</t>
  </si>
  <si>
    <t>Defender Health = 0 to 31</t>
  </si>
  <si>
    <t>153AB4</t>
  </si>
  <si>
    <t>153AB6</t>
  </si>
  <si>
    <t>153AB8</t>
  </si>
  <si>
    <t>High health - 4th strike in quick succession</t>
  </si>
  <si>
    <t>153ABA</t>
  </si>
  <si>
    <t>153ABC</t>
  </si>
  <si>
    <t>153ABE</t>
  </si>
  <si>
    <t>153AC0</t>
  </si>
  <si>
    <t>153AC2</t>
  </si>
  <si>
    <t>153AC4</t>
  </si>
  <si>
    <t>153AC6</t>
  </si>
  <si>
    <t>153AC8</t>
  </si>
  <si>
    <t>Strong Strike stumble back percentages</t>
  </si>
  <si>
    <t>153ACA</t>
  </si>
  <si>
    <t>153ACC</t>
  </si>
  <si>
    <t>153ACE</t>
  </si>
  <si>
    <t>153AD0</t>
  </si>
  <si>
    <t>153AD2</t>
  </si>
  <si>
    <t>153AD4</t>
  </si>
  <si>
    <t>153AD6</t>
  </si>
  <si>
    <t>028A or 650d</t>
  </si>
  <si>
    <t>153AD8</t>
  </si>
  <si>
    <t>Also used for Irish whip strikes?  Or is this the beginning?  Chance of stumbling</t>
  </si>
  <si>
    <t>153ADA</t>
  </si>
  <si>
    <t>Chance of being knocked down</t>
  </si>
  <si>
    <t>153ADC</t>
  </si>
  <si>
    <t>153ADE</t>
  </si>
  <si>
    <t>153AE0</t>
  </si>
  <si>
    <t>153AE2</t>
  </si>
  <si>
    <t>153AE4</t>
  </si>
  <si>
    <t>153AE6</t>
  </si>
  <si>
    <t>153AE8</t>
  </si>
  <si>
    <t>153AEA</t>
  </si>
  <si>
    <t>153AEC</t>
  </si>
  <si>
    <t>153AEE</t>
  </si>
  <si>
    <t>153AF0</t>
  </si>
  <si>
    <t>153AF2</t>
  </si>
  <si>
    <t>153AF4</t>
  </si>
  <si>
    <t>153AF6</t>
  </si>
  <si>
    <t>153AF8</t>
  </si>
  <si>
    <t>153AFA</t>
  </si>
  <si>
    <t>153AFC</t>
  </si>
  <si>
    <t>153AFE</t>
  </si>
  <si>
    <t>153B00</t>
  </si>
  <si>
    <t>Stumble back percentages for irish whip counter strike?</t>
  </si>
  <si>
    <t>153B02</t>
  </si>
  <si>
    <t>153BB0</t>
  </si>
  <si>
    <t>Front Weak Grapple Move A</t>
  </si>
  <si>
    <t>Slot 1</t>
  </si>
  <si>
    <t>153BB2</t>
  </si>
  <si>
    <t>Front Weak Grapple Move A (L or R)</t>
  </si>
  <si>
    <t>Slot 2</t>
  </si>
  <si>
    <t>153BB4</t>
  </si>
  <si>
    <t>Front Weak Grapple Move A (Up)</t>
  </si>
  <si>
    <t>Slot 3</t>
  </si>
  <si>
    <t>153BB6</t>
  </si>
  <si>
    <t>Front Weak Grapple Move A (Down)</t>
  </si>
  <si>
    <t>Slot 4</t>
  </si>
  <si>
    <t>153BB8</t>
  </si>
  <si>
    <t>Front Weak Grapple Move B</t>
  </si>
  <si>
    <t>Slot 5</t>
  </si>
  <si>
    <t>153BBA</t>
  </si>
  <si>
    <t>Front Weak Grapple Move B (L or R)</t>
  </si>
  <si>
    <t>0A</t>
  </si>
  <si>
    <t>Slot 10</t>
  </si>
  <si>
    <t>153BBC</t>
  </si>
  <si>
    <t>Front Weak Grapple Move B (Up)</t>
  </si>
  <si>
    <t>0F</t>
  </si>
  <si>
    <t>Slot 15</t>
  </si>
  <si>
    <t>153BBE</t>
  </si>
  <si>
    <t>Front Weak Grapple Move B (Down)</t>
  </si>
  <si>
    <t>Slot 20</t>
  </si>
  <si>
    <t>153BC0</t>
  </si>
  <si>
    <t>Front Strong Grapple Move A</t>
  </si>
  <si>
    <t>Slot 25</t>
  </si>
  <si>
    <t>153BC2</t>
  </si>
  <si>
    <t>Front Strong Grapple Move A (L or R)</t>
  </si>
  <si>
    <t>1E</t>
  </si>
  <si>
    <t>Slot 30</t>
  </si>
  <si>
    <t>153BC4</t>
  </si>
  <si>
    <t>Front Strong Grapple Move A (Up)</t>
  </si>
  <si>
    <t>Slot 35</t>
  </si>
  <si>
    <t>153BC6</t>
  </si>
  <si>
    <t>Front Strong Grapple Move A (Down)</t>
  </si>
  <si>
    <t>Slot 40</t>
  </si>
  <si>
    <t>153BC8</t>
  </si>
  <si>
    <t>Front Strong Grapple Move B or Combo Strike B (Neutral)</t>
  </si>
  <si>
    <t>2D</t>
  </si>
  <si>
    <t>Slot 45</t>
  </si>
  <si>
    <t>153BCA</t>
  </si>
  <si>
    <t>Front Strong Grapple Move B (L or R) or Combo Strike (Up)</t>
  </si>
  <si>
    <t>Slot 50</t>
  </si>
  <si>
    <t>153BCC</t>
  </si>
  <si>
    <t>Front Strong Grapple Move B (Up) or Combo Strike (Down)</t>
  </si>
  <si>
    <t>Slot 55</t>
  </si>
  <si>
    <t>153BCE</t>
  </si>
  <si>
    <t>Front Strong Grapple Move B (Down) or Combo Strike (Left)</t>
  </si>
  <si>
    <t>3C</t>
  </si>
  <si>
    <t>Slot 60</t>
  </si>
  <si>
    <t>153BD0</t>
  </si>
  <si>
    <t>Back Weak Grapple Move A</t>
  </si>
  <si>
    <t>Slot 73</t>
  </si>
  <si>
    <t>153BD2</t>
  </si>
  <si>
    <t>Back Weak Grapple Move A + Dir</t>
  </si>
  <si>
    <t>4A</t>
  </si>
  <si>
    <t>Slot 74</t>
  </si>
  <si>
    <t>153BD4</t>
  </si>
  <si>
    <t>Back Weak Grapple Move B</t>
  </si>
  <si>
    <t>4B</t>
  </si>
  <si>
    <t>Slot 75</t>
  </si>
  <si>
    <t>153BD6</t>
  </si>
  <si>
    <t>Back Weak Grapple Move B + Dir</t>
  </si>
  <si>
    <t>4C</t>
  </si>
  <si>
    <t>Slot 76</t>
  </si>
  <si>
    <t>153BD8</t>
  </si>
  <si>
    <t>Back Strong Grapple Move A</t>
  </si>
  <si>
    <t>4D</t>
  </si>
  <si>
    <t>Slot 77</t>
  </si>
  <si>
    <t>153BDA</t>
  </si>
  <si>
    <t>Back Strong Grapple Move A + Dir</t>
  </si>
  <si>
    <t>4E</t>
  </si>
  <si>
    <t>Slot 78</t>
  </si>
  <si>
    <t>153BDC</t>
  </si>
  <si>
    <t>Back Strong Grapple Move B</t>
  </si>
  <si>
    <t>4F</t>
  </si>
  <si>
    <t>Slot 79</t>
  </si>
  <si>
    <t>153BDE</t>
  </si>
  <si>
    <t>Back Strong Grapple Move B + Dir</t>
  </si>
  <si>
    <t>Slot 80</t>
  </si>
  <si>
    <t>153BE0</t>
  </si>
  <si>
    <t>Front Weak Corner Grapple A</t>
  </si>
  <si>
    <t>6C</t>
  </si>
  <si>
    <t>Slot 108</t>
  </si>
  <si>
    <t>153BE2</t>
  </si>
  <si>
    <t>Front Weak Corner Grapple B</t>
  </si>
  <si>
    <t>Slot 113</t>
  </si>
  <si>
    <t>153BE4</t>
  </si>
  <si>
    <t>Front Strong Corner Grapple A</t>
  </si>
  <si>
    <t>Slot 118</t>
  </si>
  <si>
    <t>153BE6</t>
  </si>
  <si>
    <t>Front Strong Corner Grapple B</t>
  </si>
  <si>
    <t>7B</t>
  </si>
  <si>
    <t>Slot 123</t>
  </si>
  <si>
    <t>153BE8</t>
  </si>
  <si>
    <t>Back Weak Corner Grapple A</t>
  </si>
  <si>
    <t>Slot 130</t>
  </si>
  <si>
    <t>153BEA</t>
  </si>
  <si>
    <t>Back Weak Corner Grapple B</t>
  </si>
  <si>
    <t>Slot 132</t>
  </si>
  <si>
    <t>153BEC</t>
  </si>
  <si>
    <t>Back Strong Corner Grapple A</t>
  </si>
  <si>
    <t>Slot 134</t>
  </si>
  <si>
    <t>153BEE</t>
  </si>
  <si>
    <t>Back Strong Corner Grapple B</t>
  </si>
  <si>
    <t>Slot 136</t>
  </si>
  <si>
    <t>153CC8</t>
  </si>
  <si>
    <t>Start of 16 bit addies that correspond to Broad Actions</t>
  </si>
  <si>
    <t>154200</t>
  </si>
  <si>
    <t>Addresses for ring dimensions!</t>
  </si>
  <si>
    <t>43660000 43660000 C3660000 C3660000</t>
  </si>
  <si>
    <t>154204</t>
  </si>
  <si>
    <t>230 and -230</t>
  </si>
  <si>
    <t>154208</t>
  </si>
  <si>
    <t>15420C</t>
  </si>
  <si>
    <t>154230</t>
  </si>
  <si>
    <t>Address for barrier dimensions / collisions with guardrail – furthest from camera</t>
  </si>
  <si>
    <t>44040000 or 528d</t>
  </si>
  <si>
    <t>154234</t>
  </si>
  <si>
    <t>Address for barrier dimensions / collisions with guardrail – right side (top right only?0</t>
  </si>
  <si>
    <t>154238</t>
  </si>
  <si>
    <t>15423C</t>
  </si>
  <si>
    <t>C4040000 or -528d</t>
  </si>
  <si>
    <t>154258</t>
  </si>
  <si>
    <t>Address for barrier dimensions / collisions with guardrail – side closest to camera</t>
  </si>
  <si>
    <t>15426C</t>
  </si>
  <si>
    <t>Address for barrier dimensions / collisions with guardrail – left side</t>
  </si>
  <si>
    <t>15438C</t>
  </si>
  <si>
    <t>Animation values used for running?</t>
  </si>
  <si>
    <t>Movement Speed</t>
  </si>
  <si>
    <t>40700000 or 3.75</t>
  </si>
  <si>
    <t>Multiply by 1.3</t>
  </si>
  <si>
    <t>409CCCCD</t>
  </si>
  <si>
    <t>Movement Speed going backwards</t>
  </si>
  <si>
    <t>40466666 or 3.1d</t>
  </si>
  <si>
    <t>Movement Speed – Slow</t>
  </si>
  <si>
    <t>40900000 or 4.5</t>
  </si>
  <si>
    <t>40BB3333</t>
  </si>
  <si>
    <t>15441C</t>
  </si>
  <si>
    <t>Movement Speed going backwards – Slow</t>
  </si>
  <si>
    <t>4059999A or 3.4</t>
  </si>
  <si>
    <t>408CCCCD</t>
  </si>
  <si>
    <t>Movement Speed – Normal</t>
  </si>
  <si>
    <t>40A80000 or 5.25</t>
  </si>
  <si>
    <t>40DA6666</t>
  </si>
  <si>
    <t>Movement Speed going backwards – Normal</t>
  </si>
  <si>
    <t>406CCCCD or 3.7</t>
  </si>
  <si>
    <t>4099999A</t>
  </si>
  <si>
    <t>Movement Speed – Fast</t>
  </si>
  <si>
    <t>40C00000 or 6.0</t>
  </si>
  <si>
    <t>40F9999A</t>
  </si>
  <si>
    <t>15442C</t>
  </si>
  <si>
    <t>Movement Speed going backwards – Fast</t>
  </si>
  <si>
    <t>40800000 or 4.0</t>
  </si>
  <si>
    <t>40A66666</t>
  </si>
  <si>
    <t>154490</t>
  </si>
  <si>
    <t>A button</t>
  </si>
  <si>
    <t>154492</t>
  </si>
  <si>
    <t xml:space="preserve">        #.short 0x4000 # B button</t>
  </si>
  <si>
    <t>154494</t>
  </si>
  <si>
    <t xml:space="preserve">        #.short 0x0004 # C down button</t>
  </si>
  <si>
    <t>0004</t>
  </si>
  <si>
    <t>154496</t>
  </si>
  <si>
    <t xml:space="preserve">        #.short 0x0010 # R button</t>
  </si>
  <si>
    <t>0010</t>
  </si>
  <si>
    <t>154498</t>
  </si>
  <si>
    <t xml:space="preserve">        #.short 0x0020 # L button</t>
  </si>
  <si>
    <t>0020</t>
  </si>
  <si>
    <t>15449A</t>
  </si>
  <si>
    <t xml:space="preserve">        #.short 0x0008 # C up button</t>
  </si>
  <si>
    <t>0008</t>
  </si>
  <si>
    <t>15449C</t>
  </si>
  <si>
    <t xml:space="preserve">        #.short 0x0001 # C right button</t>
  </si>
  <si>
    <t>0001</t>
  </si>
  <si>
    <t>15449E</t>
  </si>
  <si>
    <t xml:space="preserve">        #.short 0x0002 # C left button </t>
  </si>
  <si>
    <t>0002</t>
  </si>
  <si>
    <t>1544A0</t>
  </si>
  <si>
    <t>Z button</t>
  </si>
  <si>
    <t>1544F0</t>
  </si>
  <si>
    <t>P1 Ground Grapple Face Up Legs Moveset Moveslot</t>
  </si>
  <si>
    <t>00F0</t>
  </si>
  <si>
    <t>1544F2</t>
  </si>
  <si>
    <t>P1 Ground Grapple Face Down Legs Moveset Moveslot</t>
  </si>
  <si>
    <t>00F2</t>
  </si>
  <si>
    <t>1544F4</t>
  </si>
  <si>
    <t>P1 Ground Grapple Lower Body Half Prone Facing Up Moveset Moveslot</t>
  </si>
  <si>
    <t>00F8</t>
  </si>
  <si>
    <t>1544F6</t>
  </si>
  <si>
    <t>P1 Ground Grapple Lower Body Half Prone Facing Down Moveset Moveslot</t>
  </si>
  <si>
    <t>00FA</t>
  </si>
  <si>
    <t>1544F8</t>
  </si>
  <si>
    <t>P1 Ground Grapple Face Up Head Moveset Moveslot</t>
  </si>
  <si>
    <t>00EC</t>
  </si>
  <si>
    <t>1544FA</t>
  </si>
  <si>
    <t>P1 Ground Grapple Face Down Head Moveset Moveslot</t>
  </si>
  <si>
    <t>00EE</t>
  </si>
  <si>
    <t>1544FC</t>
  </si>
  <si>
    <t>P1 Ground Grapple Upper Body Sitting Up Moveset Moveslot</t>
  </si>
  <si>
    <t>00F4</t>
  </si>
  <si>
    <t>1544FE</t>
  </si>
  <si>
    <t>P1 Ground Grapple Face Down Half Prone Upper Body Moveset Moveslot</t>
  </si>
  <si>
    <t>00F6</t>
  </si>
  <si>
    <t>Tag Cut Play data – for 0 seconds</t>
  </si>
  <si>
    <t>4 x zero</t>
  </si>
  <si>
    <t>0 ticks</t>
  </si>
  <si>
    <t>Tag Cut Play data – for 5 seconds</t>
  </si>
  <si>
    <t>00-96</t>
  </si>
  <si>
    <t>150 ticks!</t>
  </si>
  <si>
    <t>Tag Cut Play data – for 10 seconds</t>
  </si>
  <si>
    <t>0-12C</t>
  </si>
  <si>
    <t>300 ticks</t>
  </si>
  <si>
    <t>15450A</t>
  </si>
  <si>
    <t>Tag Cut Play data – for 20 seconds</t>
  </si>
  <si>
    <t>600 ticks</t>
  </si>
  <si>
    <t>15450C</t>
  </si>
  <si>
    <t>Tag Cut Play data – for 30 seconds</t>
  </si>
  <si>
    <t>900 ticks</t>
  </si>
  <si>
    <t>15450E</t>
  </si>
  <si>
    <t>Tag Cut Play data – for 40 seconds</t>
  </si>
  <si>
    <t>4B0</t>
  </si>
  <si>
    <t>1200 ticks</t>
  </si>
  <si>
    <t>Tag Cut Play data – for 50 seconds</t>
  </si>
  <si>
    <t>5DC</t>
  </si>
  <si>
    <t>1500 ticks</t>
  </si>
  <si>
    <t>Tag Cut Play data – for 60 seconds</t>
  </si>
  <si>
    <t>1800 ticks</t>
  </si>
  <si>
    <t>15480C</t>
  </si>
  <si>
    <t>Doubleword Scale for Spirit Bar and Combination Bar and Shoot Points – does this scale everything??</t>
  </si>
  <si>
    <t>3FF00000 00000000 or 1.0d</t>
  </si>
  <si>
    <t>Doubleword Horizontal Scale for Textures in centre of screen</t>
  </si>
  <si>
    <t>40000000 00000000 or 2.0</t>
  </si>
  <si>
    <t>15481C</t>
  </si>
  <si>
    <t>Doubleword Vertical Scale for textures in centre of screen</t>
  </si>
  <si>
    <t>3FF80000 00000000 or 1.5</t>
  </si>
  <si>
    <t>Speed of pulsing for Spirit bars?</t>
  </si>
  <si>
    <t>154958</t>
  </si>
  <si>
    <t xml:space="preserve"> 3FB99999 9999999A or 0.1</t>
  </si>
  <si>
    <t>154960</t>
  </si>
  <si>
    <t>154968</t>
  </si>
  <si>
    <t>154970</t>
  </si>
  <si>
    <t>154978</t>
  </si>
  <si>
    <t>154980</t>
  </si>
  <si>
    <t>154988</t>
  </si>
  <si>
    <t>3FF19999 9999999A or 1.1</t>
  </si>
  <si>
    <t>154990</t>
  </si>
  <si>
    <t>Zoom level for default camera (can only zoom in and out so far)</t>
  </si>
  <si>
    <t>3F947AE1 47AE147B or 0.02</t>
  </si>
  <si>
    <t>154998</t>
  </si>
  <si>
    <t>Addy used for camera tilt up and down</t>
  </si>
  <si>
    <t xml:space="preserve"> 3FE00000 00000000 or 0.5</t>
  </si>
  <si>
    <t>1549A0</t>
  </si>
  <si>
    <t>Another type of zoom?</t>
  </si>
  <si>
    <t>40140000 00000000 or 5.0</t>
  </si>
  <si>
    <t>1549A8</t>
  </si>
  <si>
    <t>4062C000 00000000 or 150.0</t>
  </si>
  <si>
    <t>1549B0</t>
  </si>
  <si>
    <t>C0718000 00000000 or -280.0</t>
  </si>
  <si>
    <t>1549B8</t>
  </si>
  <si>
    <t>40280000 00000000 or 12.0</t>
  </si>
  <si>
    <t>1549C0</t>
  </si>
  <si>
    <t>40330000 00000000 or 19.0</t>
  </si>
  <si>
    <t>1549C8</t>
  </si>
  <si>
    <t>3FE99999 9999999A or 0.8</t>
  </si>
  <si>
    <t>1549D0</t>
  </si>
  <si>
    <t>Used in Camera Zoom?  Smoothness?</t>
  </si>
  <si>
    <t>3FB99999 9999999A or 0.1</t>
  </si>
  <si>
    <t>154B18</t>
  </si>
  <si>
    <t>Start of Pointers for action cams (eg 800F2D8C for victory cam)</t>
  </si>
  <si>
    <t>154B60</t>
  </si>
  <si>
    <t>Double used in victory action cam</t>
  </si>
  <si>
    <t>154B68</t>
  </si>
  <si>
    <t>401921FB 54442D18 or 6.283185307179586</t>
  </si>
  <si>
    <t>154C38</t>
  </si>
  <si>
    <t>Double used in action cam (rotate? Zoom?)</t>
  </si>
  <si>
    <t>Series of 6 doubles used in action cam – all 0.1.  Set to a lower value and rotation slows</t>
  </si>
  <si>
    <t>1550A8</t>
  </si>
  <si>
    <t>Doubleword used for AI when determining what to do</t>
  </si>
  <si>
    <t xml:space="preserve"> 40654000 00000000 or 170.0d</t>
  </si>
  <si>
    <t>155198</t>
  </si>
  <si>
    <t>3FF33333 33333333 or 1.2 in decimal</t>
  </si>
  <si>
    <t>1552C0</t>
  </si>
  <si>
    <t>Doubleword float – used just before Tuant on apron (tag match) – distance to opp?</t>
  </si>
  <si>
    <t>406F4000 00000000 or 250d</t>
  </si>
  <si>
    <t>1552C8</t>
  </si>
  <si>
    <t>Doubleword float</t>
  </si>
  <si>
    <t>40640000 00000000 or 160d</t>
  </si>
  <si>
    <t>1552D0</t>
  </si>
  <si>
    <t>40604000 00000000 which is 130d</t>
  </si>
  <si>
    <t>1552D8</t>
  </si>
  <si>
    <t>155690</t>
  </si>
  <si>
    <t>Something to do with flying moves / AI</t>
  </si>
  <si>
    <t>Doubleword float used in AI calculations – start of match – distance?</t>
  </si>
  <si>
    <t>40690000 00000000 or 200d</t>
  </si>
  <si>
    <t>155988</t>
  </si>
  <si>
    <t>Pointer to code for performing Ground Strike 1</t>
  </si>
  <si>
    <t>15598C</t>
  </si>
  <si>
    <t>Pointer to code for performing Ground Strike 2</t>
  </si>
  <si>
    <t>155990</t>
  </si>
  <si>
    <t>Pointer to code for performing Ground Strike 3</t>
  </si>
  <si>
    <t>155994</t>
  </si>
  <si>
    <t>Pointer to code for performing Ground Strike 4</t>
  </si>
  <si>
    <t>155998</t>
  </si>
  <si>
    <t>Pointer to code for performing Ground Strike 5</t>
  </si>
  <si>
    <t>15599C</t>
  </si>
  <si>
    <t>Pointer to code for performing Ground Strike 6</t>
  </si>
  <si>
    <t>1559A0</t>
  </si>
  <si>
    <t>Pointer to code for performing Ground Strike 7</t>
  </si>
  <si>
    <t>1559A4</t>
  </si>
  <si>
    <t>Pointer to code for performing Ground Strike 8</t>
  </si>
  <si>
    <t>1559ee8</t>
  </si>
  <si>
    <t>Doubleword float used in AI calculations – opp standing – failed 50%</t>
  </si>
  <si>
    <t>1559F0</t>
  </si>
  <si>
    <t>Doubleword float used in AI calculations – opp standing – succeeded on 50%</t>
  </si>
  <si>
    <t>155F28</t>
  </si>
  <si>
    <t>Doubleword float value used in Mount Punch Critical Tap calc</t>
  </si>
  <si>
    <t>40140000 00000000 or 5 in decimal</t>
  </si>
  <si>
    <t>1562F0</t>
  </si>
  <si>
    <t>Doubleword float value used in AI Map calc – estimating stamina</t>
  </si>
  <si>
    <t xml:space="preserve"> 3F50624D D2F1A9FC or 0.001</t>
  </si>
  <si>
    <t>1562F8</t>
  </si>
  <si>
    <t>3FE00000 00000000 or 0.5d</t>
  </si>
  <si>
    <t>156EE0</t>
  </si>
  <si>
    <t>Doubleword float value used in calculating damage – Joint Stamina</t>
  </si>
  <si>
    <t>50 in decimal</t>
  </si>
  <si>
    <t>156EE8</t>
  </si>
  <si>
    <t>0.01 in decimal</t>
  </si>
  <si>
    <t>156EF0</t>
  </si>
  <si>
    <t>Doubleword float value used in calculating damage – Special Bonus</t>
  </si>
  <si>
    <t>156EF8</t>
  </si>
  <si>
    <t>0x00 1st</t>
  </si>
  <si>
    <t>Code used for damage based wakeup timers (prone)?</t>
  </si>
  <si>
    <t>80125B30</t>
  </si>
  <si>
    <t>156EFC</t>
  </si>
  <si>
    <t>0x04 2nd</t>
  </si>
  <si>
    <t>Pinfall wakeup timer code pointer</t>
  </si>
  <si>
    <t>80125C30</t>
  </si>
  <si>
    <t>156F00</t>
  </si>
  <si>
    <t>0x08 3rd</t>
  </si>
  <si>
    <t>Wakeup timer not related to move damage (whip into corner) – used for moves apart from strikes and running grapples, missed hig spot, rolling someone into ring</t>
  </si>
  <si>
    <t>80125E30</t>
  </si>
  <si>
    <t>156F04</t>
  </si>
  <si>
    <t>0x0C 4th</t>
  </si>
  <si>
    <t>Code used when joint / repeating move applied</t>
  </si>
  <si>
    <t>80125E78</t>
  </si>
  <si>
    <t>156F08</t>
  </si>
  <si>
    <t>0x10 5th</t>
  </si>
  <si>
    <t>Wakeup timer code for whip into barrier dizzy</t>
  </si>
  <si>
    <t>80125E90</t>
  </si>
  <si>
    <t>156F0C</t>
  </si>
  <si>
    <t>0x14 6th</t>
  </si>
  <si>
    <t>Wakeup timer for arms behind back / holding and grabbing from apron from behind</t>
  </si>
  <si>
    <t>80125EFC</t>
  </si>
  <si>
    <t>156F10</t>
  </si>
  <si>
    <t>0x18 7th</t>
  </si>
  <si>
    <t>Wakeup timer for doomsday device</t>
  </si>
  <si>
    <t>80125F2C</t>
  </si>
  <si>
    <t>156F14</t>
  </si>
  <si>
    <t>0x1C 8th</t>
  </si>
  <si>
    <t>Code used for tree of woe wakeup timer</t>
  </si>
  <si>
    <t>80125F8C</t>
  </si>
  <si>
    <t>156F18</t>
  </si>
  <si>
    <t>0x20 9th</t>
  </si>
  <si>
    <t>Shoot Fight Down/TKO Wakeup Timer</t>
  </si>
  <si>
    <t>80125FEC</t>
  </si>
  <si>
    <t>156F20</t>
  </si>
  <si>
    <t>Value used when working out wakeup timer on outside</t>
  </si>
  <si>
    <t>Multiply wakeup timer by 1.5!</t>
  </si>
  <si>
    <t>156F28</t>
  </si>
  <si>
    <t>Value used when dizzy on apron?</t>
  </si>
  <si>
    <t>3FE4CCCC CCCCCCCD or 0.65</t>
  </si>
  <si>
    <t>Multiply wakeup timer by 0.65!</t>
  </si>
  <si>
    <t>156F30</t>
  </si>
  <si>
    <t>Word used in TKO calculation and Blood calculation</t>
  </si>
  <si>
    <t>801250A0</t>
  </si>
  <si>
    <t>Pointers to code…</t>
  </si>
  <si>
    <t>156F34</t>
  </si>
  <si>
    <t>Pointer to code</t>
  </si>
  <si>
    <t>156F38</t>
  </si>
  <si>
    <t>80 12 51 E4</t>
  </si>
  <si>
    <t>156F3C</t>
  </si>
  <si>
    <t>156F40</t>
  </si>
  <si>
    <t>801262C4</t>
  </si>
  <si>
    <t>156F44</t>
  </si>
  <si>
    <t>156F48</t>
  </si>
  <si>
    <t>8012633C</t>
  </si>
  <si>
    <t>156F4C</t>
  </si>
  <si>
    <t>156F50</t>
  </si>
  <si>
    <t>156F54</t>
  </si>
  <si>
    <t>156F58</t>
  </si>
  <si>
    <t>156F5C</t>
  </si>
  <si>
    <t>156F60</t>
  </si>
  <si>
    <t>156F64</t>
  </si>
  <si>
    <t>156F68</t>
  </si>
  <si>
    <t>156F6C</t>
  </si>
  <si>
    <t>156F70</t>
  </si>
  <si>
    <t>Pointer to code … use this when blocking / catching during wakeup animation</t>
  </si>
  <si>
    <t>801267B8</t>
  </si>
  <si>
    <t>This code sets at 70% probability</t>
  </si>
  <si>
    <t>156F74</t>
  </si>
  <si>
    <t>801267C0</t>
  </si>
  <si>
    <t>This code sets at 50% probability</t>
  </si>
  <si>
    <t>156F78</t>
  </si>
  <si>
    <t>Pointer to code … use this when snapped hands back and then snap next attempt back</t>
  </si>
  <si>
    <t>801267C8</t>
  </si>
  <si>
    <t>This code sets at 60% probability</t>
  </si>
  <si>
    <t>Also used for strike against stumbling back</t>
  </si>
  <si>
    <t>156F7C</t>
  </si>
  <si>
    <t>156F80</t>
  </si>
  <si>
    <t>156F88</t>
  </si>
  <si>
    <t>Doubleword float value used in bloodshed calculation</t>
  </si>
  <si>
    <t>3FF00000 00000000 = decimal 1!</t>
  </si>
  <si>
    <t>156F90</t>
  </si>
  <si>
    <t>Doubleword float value used in TKO Revival calculation</t>
  </si>
  <si>
    <t>3FF00000 00000000</t>
  </si>
  <si>
    <t>156F98</t>
  </si>
  <si>
    <t>Doubleword float used in determining whether stand up dizzy (to multiply result by 1,000)</t>
  </si>
  <si>
    <t>408F4000 00000000 = 1,000 in decimal!</t>
  </si>
  <si>
    <t>156FA0</t>
  </si>
  <si>
    <t>Doubelword float used in weapon calculation</t>
  </si>
  <si>
    <t>1 in decimal</t>
  </si>
  <si>
    <t>156FA8</t>
  </si>
  <si>
    <t>Doubleword float value used in weapon calculation (and bloodshed calculation?)</t>
  </si>
  <si>
    <t>156FB0</t>
  </si>
  <si>
    <t>156FB8</t>
  </si>
  <si>
    <t>157758</t>
  </si>
  <si>
    <t>Doubleword used to determine when a Weak Punch becomes a Weak Kick?</t>
  </si>
  <si>
    <t>40590000 00000000 or 100.0</t>
  </si>
  <si>
    <t>Start of series of DW floats – location of right side ropes? And farside?</t>
  </si>
  <si>
    <t>3FE0000000000000 0.5</t>
  </si>
  <si>
    <t>4070E00000000000 270</t>
  </si>
  <si>
    <t>3F5921FB54442D18 0.0015339807878856412</t>
  </si>
  <si>
    <t>40845F306DC9C883 651.8986469044033</t>
  </si>
  <si>
    <t>Doubleword float – used before cut play</t>
  </si>
  <si>
    <t>40845F30 6DC9C883 or 651.89864 in dec</t>
  </si>
  <si>
    <t>Doubleword float – used in rotation of player</t>
  </si>
  <si>
    <t>Doubleword float – used in mist… or generally any grapple?</t>
  </si>
  <si>
    <t>3F5921FB 54442D18 or 0.00153398</t>
  </si>
  <si>
    <t>1579A0</t>
  </si>
  <si>
    <t>3FF0000000000000 1.0</t>
  </si>
  <si>
    <t>1579A8</t>
  </si>
  <si>
    <t>1579B0</t>
  </si>
  <si>
    <t>3FD0000000000000 0.25</t>
  </si>
  <si>
    <t>403DB33333333333 29.7</t>
  </si>
  <si>
    <t>1579C0</t>
  </si>
  <si>
    <t>1579D0</t>
  </si>
  <si>
    <t>3FB6800000000000 0.087890625</t>
  </si>
  <si>
    <t>4020000000000000 8.0</t>
  </si>
  <si>
    <t>1579E0</t>
  </si>
  <si>
    <t>C020000000000000 -8.0</t>
  </si>
  <si>
    <t>4050E00000000000 67.5</t>
  </si>
  <si>
    <t>1579F0</t>
  </si>
  <si>
    <t>C050E00000000000 -67.5</t>
  </si>
  <si>
    <t>changing this causes people not to look at each other – one head up</t>
  </si>
  <si>
    <t>157A00</t>
  </si>
  <si>
    <t>seems to affect head jitter</t>
  </si>
  <si>
    <t>4010000000000000 4.0</t>
  </si>
  <si>
    <t>C010000000000000 -4.0</t>
  </si>
  <si>
    <t>157A10</t>
  </si>
  <si>
    <t>Changing this changes head tilt up / down</t>
  </si>
  <si>
    <t>403E000000000000 30.0</t>
  </si>
  <si>
    <t>157A18</t>
  </si>
  <si>
    <t>C03E000000000000 -30.0</t>
  </si>
  <si>
    <t>157A80</t>
  </si>
  <si>
    <t>Address used for holding limb</t>
  </si>
  <si>
    <t>402E0000 00000000 is 15 in decimal</t>
  </si>
  <si>
    <t>159B0A</t>
  </si>
  <si>
    <t>Ref Count 00, 01, 02????  No, don’t think so</t>
  </si>
  <si>
    <t>15A148</t>
  </si>
  <si>
    <t>To do with 1, 2, 3 count?</t>
  </si>
  <si>
    <t>15A160</t>
  </si>
  <si>
    <t>Layering for number in middle of screen – 0 is underneath ring, default is 05 (in front of wrestler)</t>
  </si>
  <si>
    <t>15AF64</t>
  </si>
  <si>
    <t>Pointers to wakeup timer codes?</t>
  </si>
  <si>
    <t>15AFE0</t>
  </si>
  <si>
    <t>10 Count – Ref Counter (counts to 001E, then loops) / also ringout count?</t>
  </si>
  <si>
    <t>up to 1E</t>
  </si>
  <si>
    <t>15AFE2</t>
  </si>
  <si>
    <t>10 Count – Ref Count / ringout count?</t>
  </si>
  <si>
    <t>Counts up to 000A</t>
  </si>
  <si>
    <t>15AFE4</t>
  </si>
  <si>
    <t>15AFE6</t>
  </si>
  <si>
    <t>Starts at zero, changes to 0002 when counting, then stays until KO when it goes to 0001</t>
  </si>
  <si>
    <t>15AFE8</t>
  </si>
  <si>
    <t>20 count – first digit (also changes to 0001 when knocked out?)</t>
  </si>
  <si>
    <t>normally FFFF</t>
  </si>
  <si>
    <t>15AFEA</t>
  </si>
  <si>
    <t>15AFEC</t>
  </si>
  <si>
    <t>On screen Ref Message and voice (end of match)</t>
  </si>
  <si>
    <t>0000 is 3 count fall, 0001 is giveup, 0002 is ringout, 0003 is TKO, 0004 is Timeup, 0005 is double ringout and 0006 is draw</t>
  </si>
  <si>
    <t>15D2C4</t>
  </si>
  <si>
    <t>Addy used in Big Message Texture stuff – was then compared against 0000 0080</t>
  </si>
  <si>
    <t>15D620</t>
  </si>
  <si>
    <t>Dunno what this is … but pointed to when big texture on screen work going on</t>
  </si>
  <si>
    <t>15D6F0</t>
  </si>
  <si>
    <t>Is this the first texture details (1 of 4)?</t>
  </si>
  <si>
    <t>15D6F4</t>
  </si>
  <si>
    <t>Is this an address that controls the texture in middle of screen (TKO, Knock Out, Fight etc)</t>
  </si>
  <si>
    <t>15D6F6</t>
  </si>
  <si>
    <t>Countdown</t>
  </si>
  <si>
    <t>15D6F7</t>
  </si>
  <si>
    <t>Target Opacity (in hex)</t>
  </si>
  <si>
    <t>15D6F8</t>
  </si>
  <si>
    <t>Target horizontal location (in hex)</t>
  </si>
  <si>
    <t>15D6FA</t>
  </si>
  <si>
    <t>Target vertical location (in hex)</t>
  </si>
  <si>
    <t>15D6FC</t>
  </si>
  <si>
    <t>Starting Opacity (Float) – 437F0000 is 255</t>
  </si>
  <si>
    <t>15D700</t>
  </si>
  <si>
    <t>Starting horizontal location (float)</t>
  </si>
  <si>
    <t>15D704</t>
  </si>
  <si>
    <t>Starting vertical location (float)</t>
  </si>
  <si>
    <t>15D708</t>
  </si>
  <si>
    <t>Starting horizontal scale?</t>
  </si>
  <si>
    <t>15D70C</t>
  </si>
  <si>
    <t>Starting vertical scale?</t>
  </si>
  <si>
    <t>15D710</t>
  </si>
  <si>
    <t>Colour / Palette?  RR/GG/BB</t>
  </si>
  <si>
    <t>15D714</t>
  </si>
  <si>
    <t>Start of 2nd texture?</t>
  </si>
  <si>
    <t>15D780</t>
  </si>
  <si>
    <t>Pointer at end of 4 big texture slots – points to start of current texture group – put addies in here to make it run!</t>
  </si>
  <si>
    <t xml:space="preserve"> 80151AA4 for Fight!, 80151AB0, 801518C0 for rope break, 801518E8 for 2 count,</t>
  </si>
  <si>
    <t>15D798</t>
  </si>
  <si>
    <t>Moving camera addy …</t>
  </si>
  <si>
    <t>40C90E90 or 6.28302764893</t>
  </si>
  <si>
    <t>15D7B0</t>
  </si>
  <si>
    <t>another cam addy</t>
  </si>
  <si>
    <t>15D8E4</t>
  </si>
  <si>
    <t>Start of camera addies?  Rotation</t>
  </si>
  <si>
    <t>Starts near 0</t>
  </si>
  <si>
    <t>15D8E8</t>
  </si>
  <si>
    <t>Camera Height</t>
  </si>
  <si>
    <t>Starts around 640d</t>
  </si>
  <si>
    <t>15D8EC</t>
  </si>
  <si>
    <t>Some other rotation</t>
  </si>
  <si>
    <t>Starts at around -1,000</t>
  </si>
  <si>
    <t>15D8F0</t>
  </si>
  <si>
    <t>15D8F4</t>
  </si>
  <si>
    <t>Can point this directly down to fans at nearside, can tilt up to roof</t>
  </si>
  <si>
    <t>Starts near 185</t>
  </si>
  <si>
    <t>15D8F8</t>
  </si>
  <si>
    <t>Starts close to 0</t>
  </si>
  <si>
    <t>15D8FC</t>
  </si>
  <si>
    <t>Light Source 1?</t>
  </si>
  <si>
    <t>15D900</t>
  </si>
  <si>
    <t>Light Source 2?</t>
  </si>
  <si>
    <t>Starts at 400d</t>
  </si>
  <si>
    <t>100d at Kawasaki?</t>
  </si>
  <si>
    <t>15D904</t>
  </si>
  <si>
    <t>Light Source 3?</t>
  </si>
  <si>
    <t>15D908</t>
  </si>
  <si>
    <t>15D90C</t>
  </si>
  <si>
    <t xml:space="preserve">15D910  </t>
  </si>
  <si>
    <t>Zoom Camera. Centered on the ring from a slight upward angle.</t>
  </si>
  <si>
    <t>8115a540</t>
  </si>
  <si>
    <t xml:space="preserve">15D914  </t>
  </si>
  <si>
    <t>This camera Pans to the outer left of the ring the higher the value.</t>
  </si>
  <si>
    <t>8115a544</t>
  </si>
  <si>
    <t xml:space="preserve">15D918  </t>
  </si>
  <si>
    <t>This camera pans up and down</t>
  </si>
  <si>
    <t>8115a548</t>
  </si>
  <si>
    <t>15D91C</t>
  </si>
  <si>
    <t>8115a54C</t>
  </si>
  <si>
    <t xml:space="preserve">15D920  </t>
  </si>
  <si>
    <t>0x3C</t>
  </si>
  <si>
    <t>Hard Camera Left</t>
  </si>
  <si>
    <t>8115a550</t>
  </si>
  <si>
    <t xml:space="preserve">15D924  </t>
  </si>
  <si>
    <t>Hard camera up and down</t>
  </si>
  <si>
    <t>8115a554</t>
  </si>
  <si>
    <t xml:space="preserve">15D928  </t>
  </si>
  <si>
    <t>0x44</t>
  </si>
  <si>
    <t>Hard Camera down + weirdness</t>
  </si>
  <si>
    <t>8115a558</t>
  </si>
  <si>
    <t xml:space="preserve">15D92C  </t>
  </si>
  <si>
    <t>0x48</t>
  </si>
  <si>
    <t>This is a cut away camera, it seems to be from the left.</t>
  </si>
  <si>
    <t>8115a55C</t>
  </si>
  <si>
    <t xml:space="preserve">15D930  </t>
  </si>
  <si>
    <t>0x4C</t>
  </si>
  <si>
    <t>Default Camera. This is the position the camera will reset to when the two wrestlers are a far enough distance from one another. It can get out there.</t>
  </si>
  <si>
    <t>8115a560</t>
  </si>
  <si>
    <t>15D95C</t>
  </si>
  <si>
    <t>0x78</t>
  </si>
  <si>
    <t>End of camera addies?</t>
  </si>
  <si>
    <t>15D970</t>
  </si>
  <si>
    <t>15D974</t>
  </si>
  <si>
    <t>00 or 01</t>
  </si>
  <si>
    <t>15D978</t>
  </si>
  <si>
    <t>15D97C</t>
  </si>
  <si>
    <t>15DA08</t>
  </si>
  <si>
    <t>Saved word here that was created from last addy in AI map</t>
  </si>
  <si>
    <t>15DACC</t>
  </si>
  <si>
    <t>Start of series of addys – 30 second – Keeps a list of P2 received moves / damage</t>
  </si>
  <si>
    <t>15DB86</t>
  </si>
  <si>
    <t>Frames for Ref Count?</t>
  </si>
  <si>
    <t>15DB90</t>
  </si>
  <si>
    <t>Frames for pre-match section – can extend pre match before FIGHT</t>
  </si>
  <si>
    <t>Counts up to 1E?  Once it gets to 1F, changes (code is at 127BA4)</t>
  </si>
  <si>
    <t>15DB94</t>
  </si>
  <si>
    <t>Frames for post match section?  No</t>
  </si>
  <si>
    <t>Counts up to 5A</t>
  </si>
  <si>
    <t>15DBA2</t>
  </si>
  <si>
    <t>Which part of match – Activators</t>
  </si>
  <si>
    <t>0000 just after intro, 0001 just before FIGHT, 0002 after FIGHT, 0003 Just as 3 is counter, 0004 celebration</t>
  </si>
  <si>
    <t>V useful activator to make sure doesn’t apply until match starts</t>
  </si>
  <si>
    <t>15DBB2</t>
  </si>
  <si>
    <t>Win modifier?</t>
  </si>
  <si>
    <t>0001 is Draw Game</t>
  </si>
  <si>
    <t>15DB82</t>
  </si>
  <si>
    <t>P2 Referee Pinfall Count 1/30 seconds</t>
  </si>
  <si>
    <t>P1 Referee Pinfall Count 1/30 seconds</t>
  </si>
  <si>
    <t>15DBA4</t>
  </si>
  <si>
    <t>Referee Pinfall Count (1, 2, 3) – but only for pinning moves?</t>
  </si>
  <si>
    <t>00000001,00000002, 00000003</t>
  </si>
  <si>
    <t>15DBC2</t>
  </si>
  <si>
    <t>Referee Count ???</t>
  </si>
  <si>
    <t>15DBC6</t>
  </si>
  <si>
    <t>Frames for Ref Count? Not sure this is right…</t>
  </si>
  <si>
    <t>15DCB0</t>
  </si>
  <si>
    <t>Random Number Generator RNG</t>
  </si>
  <si>
    <t>15DCB4</t>
  </si>
  <si>
    <t>Another RNG Store?  This one hardly seems to mvoe?</t>
  </si>
  <si>
    <t>15DCB8</t>
  </si>
  <si>
    <t>RNG 0 to 999</t>
  </si>
  <si>
    <t>Used this addy in AI calculation</t>
  </si>
  <si>
    <t>15DCBA</t>
  </si>
  <si>
    <t>15DCBC</t>
  </si>
  <si>
    <t>15DCBE</t>
  </si>
  <si>
    <t>15DCC0</t>
  </si>
  <si>
    <t>15DCC2</t>
  </si>
  <si>
    <t>15DCC4</t>
  </si>
  <si>
    <t>15DCC6</t>
  </si>
  <si>
    <t>15DCC8</t>
  </si>
  <si>
    <t>15DCCA</t>
  </si>
  <si>
    <t>15DCCC</t>
  </si>
  <si>
    <t>15DCCE</t>
  </si>
  <si>
    <t>15DCD0</t>
  </si>
  <si>
    <t>15DCD2</t>
  </si>
  <si>
    <t>15DCD4</t>
  </si>
  <si>
    <t>15DCD6</t>
  </si>
  <si>
    <t>This addy used when deciding whether grapple will be reversed?</t>
  </si>
  <si>
    <t>15DCD8</t>
  </si>
  <si>
    <t>15DCDA</t>
  </si>
  <si>
    <t>15DCDC</t>
  </si>
  <si>
    <t>15DCDE</t>
  </si>
  <si>
    <t>15DCE0</t>
  </si>
  <si>
    <t>15DCE2</t>
  </si>
  <si>
    <t>15DCE4</t>
  </si>
  <si>
    <t>15DCE6</t>
  </si>
  <si>
    <t>15DCE8</t>
  </si>
  <si>
    <t>15DCEA</t>
  </si>
  <si>
    <t>15DCEC</t>
  </si>
  <si>
    <t>15DCEE</t>
  </si>
  <si>
    <t>15DCF0</t>
  </si>
  <si>
    <t>0x50</t>
  </si>
  <si>
    <t>15DCF2</t>
  </si>
  <si>
    <t>0x52</t>
  </si>
  <si>
    <t>15DCF4</t>
  </si>
  <si>
    <t>0x54</t>
  </si>
  <si>
    <t>15DCF6</t>
  </si>
  <si>
    <t>0x58</t>
  </si>
  <si>
    <t>15DCF8</t>
  </si>
  <si>
    <t>15DCFA</t>
  </si>
  <si>
    <t>15DCFC</t>
  </si>
  <si>
    <t>15DCFE</t>
  </si>
  <si>
    <t>15DD00</t>
  </si>
  <si>
    <t>Another P1 Current Anim?</t>
  </si>
  <si>
    <t>15DD02</t>
  </si>
  <si>
    <t>P2 Current Anim</t>
  </si>
  <si>
    <t>15DD04</t>
  </si>
  <si>
    <t>P3 Current Anim</t>
  </si>
  <si>
    <t>15DD06</t>
  </si>
  <si>
    <t>P4 Current Anim</t>
  </si>
  <si>
    <t>15DD38</t>
  </si>
  <si>
    <t>15dd50</t>
  </si>
  <si>
    <t>Start of addies – all recent actions and anims?</t>
  </si>
  <si>
    <t>16158E</t>
  </si>
  <si>
    <t>end of addies</t>
  </si>
  <si>
    <t>16B95A</t>
  </si>
  <si>
    <t>In KRS menu, size of text for Tour Name</t>
  </si>
  <si>
    <t>16B988</t>
  </si>
  <si>
    <t>KRS Mode, blue background tile location</t>
  </si>
  <si>
    <t>16BE50</t>
  </si>
  <si>
    <t>00?</t>
  </si>
  <si>
    <t>16BE54</t>
  </si>
  <si>
    <t>16BE58</t>
  </si>
  <si>
    <t>Replays – which frame are we currently recording</t>
  </si>
  <si>
    <t>16BE5C</t>
  </si>
  <si>
    <t>Replays – number of times that replay will loop</t>
  </si>
  <si>
    <t>16BE60</t>
  </si>
  <si>
    <t>Replays – how many frames to look back for replay (negative number here)</t>
  </si>
  <si>
    <t>16BE64</t>
  </si>
  <si>
    <t>Replays – starting frame for replay</t>
  </si>
  <si>
    <t>16BE68</t>
  </si>
  <si>
    <t>Replays – current frame (when replay is playing)</t>
  </si>
  <si>
    <t>16BE6C</t>
  </si>
  <si>
    <t>Replays – final frame for replay</t>
  </si>
  <si>
    <t>16BE70</t>
  </si>
  <si>
    <t>Replays – camera angle</t>
  </si>
  <si>
    <t>16BE74</t>
  </si>
  <si>
    <t>Replays – replay speed (how many ticks before frame advances)</t>
  </si>
  <si>
    <t>16BE78</t>
  </si>
  <si>
    <t xml:space="preserve">Replays – tick counter for slower replays </t>
  </si>
  <si>
    <t>16BE80</t>
  </si>
  <si>
    <t>P1 Button Tapping – current total</t>
  </si>
  <si>
    <t>16BE84</t>
  </si>
  <si>
    <t>P2 Button Tapping – current total</t>
  </si>
  <si>
    <t>16BE88</t>
  </si>
  <si>
    <t>P3 Button Tapping – current total</t>
  </si>
  <si>
    <t>16BE8C</t>
  </si>
  <si>
    <t>P4 Button Tapping – current total</t>
  </si>
  <si>
    <t>16BE90</t>
  </si>
  <si>
    <t>P1 Test of Strength</t>
  </si>
  <si>
    <t>16BE94</t>
  </si>
  <si>
    <t>P2 Test of Strength</t>
  </si>
  <si>
    <t>16BEA0</t>
  </si>
  <si>
    <t>Something to do with button taps to reduce wake up timer – P1 – is this masking button presses for C030?</t>
  </si>
  <si>
    <t>16BEA4</t>
  </si>
  <si>
    <t>Something to do with button taps to reduce wake up timer – P2</t>
  </si>
  <si>
    <t>16BEB8</t>
  </si>
  <si>
    <t>Address used when snap hands back after initial snap back</t>
  </si>
  <si>
    <t>0049 when recovering from dizzy and block strike, 0111 when stumbling back and snap hands, 0020 is standing dizzy, 0040 is recovering from dizzy</t>
  </si>
  <si>
    <t>16BF10</t>
  </si>
  <si>
    <t>Weapon 1 – starts at FFFFFFFF, change to 00000001, etc</t>
  </si>
  <si>
    <t>0003 is Mic</t>
  </si>
  <si>
    <t>16BF14</t>
  </si>
  <si>
    <t>16BF18</t>
  </si>
  <si>
    <t>Weapon1 – identity of player holding</t>
  </si>
  <si>
    <t>00000000 for P1, 00000001 for P2, etc</t>
  </si>
  <si>
    <t>16BF50</t>
  </si>
  <si>
    <t>Weapon 2 – starts at FFFFFFFF, change to 00000001, etc</t>
  </si>
  <si>
    <t>16BF54</t>
  </si>
  <si>
    <t>16B458</t>
  </si>
  <si>
    <t>Weapon 2 – identity of player holding</t>
  </si>
  <si>
    <t>16BF90</t>
  </si>
  <si>
    <t>Weapon 3 – starts at FFFFFFFF, change to 00000001, etc</t>
  </si>
  <si>
    <t>16BF94</t>
  </si>
  <si>
    <t>16BF98</t>
  </si>
  <si>
    <t>Weapon 3 – identity of player holding</t>
  </si>
  <si>
    <t>16BFD0</t>
  </si>
  <si>
    <t>Weapon 4 – starts at FFFFFFFF, change to 00000001, etc</t>
  </si>
  <si>
    <t>16BFD4</t>
  </si>
  <si>
    <t>16BFD8</t>
  </si>
  <si>
    <t>Weapon 4 – identity of player holding</t>
  </si>
  <si>
    <t>16C010</t>
  </si>
  <si>
    <t>Used in interference?</t>
  </si>
  <si>
    <t>16C012</t>
  </si>
  <si>
    <t>Changes This value is ANDI 3F, result is 20, determines that action cam 20 is used for victory cam</t>
  </si>
  <si>
    <t>0120 for victory action cam, 0321 for interference – first digit is who to focus on! 01 for P1</t>
  </si>
  <si>
    <t>change second byte to change cam angle</t>
  </si>
  <si>
    <t>16C017</t>
  </si>
  <si>
    <t>Referee Image on/off?</t>
  </si>
  <si>
    <t>00 for off, 01 for on</t>
  </si>
  <si>
    <t>16C019</t>
  </si>
  <si>
    <t>Spirit bars visible or not</t>
  </si>
  <si>
    <t>16C020</t>
  </si>
  <si>
    <t>Some addies relating to P1 – first addy is number of ground grapples that P1 has?? (0008)?</t>
  </si>
  <si>
    <t>Prone opponent options</t>
  </si>
  <si>
    <t>16C022</t>
  </si>
  <si>
    <t>P1 – number of ground strikes that P1 has (0008)?</t>
  </si>
  <si>
    <t>16C024</t>
  </si>
  <si>
    <t>P1 – number of possible flying moves (0003 in some cases, 0001 in others)</t>
  </si>
  <si>
    <t>16C026</t>
  </si>
  <si>
    <t>P1</t>
  </si>
  <si>
    <t>16C028</t>
  </si>
  <si>
    <t>16C02A</t>
  </si>
  <si>
    <t>16C02C</t>
  </si>
  <si>
    <t>Some addies relating to P2 – same as above</t>
  </si>
  <si>
    <t>16C050</t>
  </si>
  <si>
    <t>Stores P1 AI Late Standing logic byte here</t>
  </si>
  <si>
    <t>00 for striking, 01 for grappling or 02 for flying</t>
  </si>
  <si>
    <t>height</t>
  </si>
  <si>
    <t>16C058</t>
  </si>
  <si>
    <t>Records P1 Input – seems to record a few at a time</t>
  </si>
  <si>
    <t>16C090</t>
  </si>
  <si>
    <t>Records P2 Input</t>
  </si>
  <si>
    <t>16C138</t>
  </si>
  <si>
    <t>Clock Minutes (Can change this in real time – but only if no time limit?)</t>
  </si>
  <si>
    <t>16C13C</t>
  </si>
  <si>
    <t>Clock Seconds (Can change this in real time – but only if no time limit?)</t>
  </si>
  <si>
    <t>16C140</t>
  </si>
  <si>
    <t>Clock 1/30 seconds</t>
  </si>
  <si>
    <t>16C144</t>
  </si>
  <si>
    <t>Stores player address here</t>
  </si>
  <si>
    <t>16C148</t>
  </si>
  <si>
    <t>Stores P1 AI Early Standing logic byte here</t>
  </si>
  <si>
    <t>16C149</t>
  </si>
  <si>
    <t>16C14A</t>
  </si>
  <si>
    <t>16C150</t>
  </si>
  <si>
    <t>P1 Flying Moves – Flying Attack to Prone Opponent (0105 moveslot)</t>
  </si>
  <si>
    <t>16C152</t>
  </si>
  <si>
    <t>Whether Flying Attack to Prone Opponent is a favourite – 01 if so, 00 if not</t>
  </si>
  <si>
    <t>16C154</t>
  </si>
  <si>
    <t>Flying Attack to Inside at Turnbuckle (e.g., Vader Bomb) (010E moveslot)</t>
  </si>
  <si>
    <t>16C156</t>
  </si>
  <si>
    <t>Whether that’s a favourite or not</t>
  </si>
  <si>
    <t>16C158</t>
  </si>
  <si>
    <t>P1 Flying Attack from apron to ring prone opponent (0112 moveslot)</t>
  </si>
  <si>
    <t>16C1E0</t>
  </si>
  <si>
    <t>I think this is P1 AI Map</t>
  </si>
  <si>
    <t>OFFSET IS 98??</t>
  </si>
  <si>
    <t>16C278</t>
  </si>
  <si>
    <t>Intention / Action</t>
  </si>
  <si>
    <t>01 is weak grapple, 02 is strong grap, 06 is weak strike, 08 is pin?, 0C is hard strike, 0D is running strike, 12 was irish whip, 13 was irish whip grap, 16 pick up,19 prone stomp, 1A is ground grapple, 1C is grapple, 1D was rear weak grapple, 20 is being grappled, 33 is move closer, 37 is backing away, 38 is blocking, 3B is taunt, 3C is special taunt, 3D is dash to corner strike, 40 was rising strike/grapple, 41 was standing over recovering opp, 50 is having leg caught and pressing A,</t>
  </si>
  <si>
    <t>Start of a series of addies – use offset 4C at one point</t>
  </si>
  <si>
    <t>16C27C</t>
  </si>
  <si>
    <t>This was zero’d during logic</t>
  </si>
  <si>
    <t>Favourites</t>
  </si>
  <si>
    <t>16C280</t>
  </si>
  <si>
    <t>16C284</t>
  </si>
  <si>
    <t>I think this is the AI’s button commands!</t>
  </si>
  <si>
    <t>16C288</t>
  </si>
  <si>
    <t>changes sporadically</t>
  </si>
  <si>
    <t>If grapple move was favourite, saves corresponding value here – lots of different ones 0600, 0800, 4000</t>
  </si>
  <si>
    <t>Appears to correspond to moveset values (e.g., see 1531C0 onwards)</t>
  </si>
  <si>
    <t>16C28A</t>
  </si>
  <si>
    <t>dunno what this is but frequently checked and zerod</t>
  </si>
  <si>
    <t>16C28B</t>
  </si>
  <si>
    <t>16C28C</t>
  </si>
  <si>
    <t>16C290</t>
  </si>
  <si>
    <t>Is this the countdown until next decision is made?</t>
  </si>
  <si>
    <t>counts down from 1E?</t>
  </si>
  <si>
    <t>16C294</t>
  </si>
  <si>
    <t>AI Level (Beginner to Expert)</t>
  </si>
  <si>
    <t>00, 01, 02 then 05 and 06?</t>
  </si>
  <si>
    <t>16C298</t>
  </si>
  <si>
    <t>AI Intelligence / Skill</t>
  </si>
  <si>
    <t>03D8 which is 984, 3DC is 988, 3DE is 990, 3D4 is 980, 3D9 is 985</t>
  </si>
  <si>
    <t>16C29C</t>
  </si>
  <si>
    <t>Is this what this player is up to?</t>
  </si>
  <si>
    <t>16C2A0</t>
  </si>
  <si>
    <t>Estimate of your own Head Joint Health</t>
  </si>
  <si>
    <t>16C2A4</t>
  </si>
  <si>
    <t>Estimate of your own Body Joint Health</t>
  </si>
  <si>
    <t>16C2A8</t>
  </si>
  <si>
    <t>Estimate of your own Arms Joint Health</t>
  </si>
  <si>
    <t>16C2AC</t>
  </si>
  <si>
    <t>Estimate of your own Legs Joint Health</t>
  </si>
  <si>
    <t>16C2B0</t>
  </si>
  <si>
    <t>Estimate of your own Flying Joint Health</t>
  </si>
  <si>
    <t>16C2B4</t>
  </si>
  <si>
    <t>Estimate of your own Current Health</t>
  </si>
  <si>
    <t>16C2B6</t>
  </si>
  <si>
    <t>0x3E</t>
  </si>
  <si>
    <t>Estimate of your own Spirit</t>
  </si>
  <si>
    <t>16C2B8</t>
  </si>
  <si>
    <t>16C2C0</t>
  </si>
  <si>
    <t>Was checked to see if it was 0F or 2B – is this what opponent is up to?</t>
  </si>
  <si>
    <t>0F is prone? 10 is fura fura, 01 is standing, 0E is blocking or backing away</t>
  </si>
  <si>
    <t>16C2C4</t>
  </si>
  <si>
    <t>Estimate of your opponents Current Health</t>
  </si>
  <si>
    <t>starts at FF … once below 64, deemed late?</t>
  </si>
  <si>
    <t>16C2C6</t>
  </si>
  <si>
    <t>0x4E</t>
  </si>
  <si>
    <t>Estimate of your opponents Spirit</t>
  </si>
  <si>
    <t>16C2C8</t>
  </si>
  <si>
    <t>Is this estimate of Opponents Wakeup Timer?</t>
  </si>
  <si>
    <t>16C2CE</t>
  </si>
  <si>
    <t>0x56</t>
  </si>
  <si>
    <t>Is this opponent’s current Broad Action?</t>
  </si>
  <si>
    <t>Saved 0001 into here at one point</t>
  </si>
  <si>
    <t>16C2D8</t>
  </si>
  <si>
    <t>0x60</t>
  </si>
  <si>
    <t>Estimate of distance to opponent</t>
  </si>
  <si>
    <t>Was 85.9, etc</t>
  </si>
  <si>
    <t>16C2DC</t>
  </si>
  <si>
    <t>0x64</t>
  </si>
  <si>
    <t>16C2E0</t>
  </si>
  <si>
    <t>0x68</t>
  </si>
  <si>
    <t>Actual distance to opponent?</t>
  </si>
  <si>
    <t>16C2E4</t>
  </si>
  <si>
    <t>0x6C</t>
  </si>
  <si>
    <t>16C2E8</t>
  </si>
  <si>
    <t>0x70</t>
  </si>
  <si>
    <t>Is this estimate of opponent’s facing direction?  Or your own facing direction?</t>
  </si>
  <si>
    <t>16C2EC</t>
  </si>
  <si>
    <t>0x74</t>
  </si>
  <si>
    <t>Estimate of your opponents Head Stamina????</t>
  </si>
  <si>
    <t>16C2F0</t>
  </si>
  <si>
    <t>Estimate of your opponents Body Stamina????</t>
  </si>
  <si>
    <t>16C2F4</t>
  </si>
  <si>
    <t>0x7C</t>
  </si>
  <si>
    <t>Estimate of your opponents Arm Stamina????</t>
  </si>
  <si>
    <t>16C2F8</t>
  </si>
  <si>
    <t>0x80</t>
  </si>
  <si>
    <t>Estimate of your opponents Leg Stamina????</t>
  </si>
  <si>
    <t>16C2FC</t>
  </si>
  <si>
    <t>0x84</t>
  </si>
  <si>
    <t>AI’s Estimate of own Attacking Range?</t>
  </si>
  <si>
    <t>16C300</t>
  </si>
  <si>
    <t>0x88</t>
  </si>
  <si>
    <t>Changes – likely a Bitfield</t>
  </si>
  <si>
    <t>10 to 11 and back again</t>
  </si>
  <si>
    <t>16C301</t>
  </si>
  <si>
    <t>0x89</t>
  </si>
  <si>
    <t>16C302</t>
  </si>
  <si>
    <t>0x8A</t>
  </si>
  <si>
    <t>This changes depending on location and status of both players</t>
  </si>
  <si>
    <t>0001 is both inring, 0010 is on apron and opp inside? 02 for the guy who is in-ring and opp on apron, 0020 both on apron, 0400 both outside?</t>
  </si>
  <si>
    <t>16C304</t>
  </si>
  <si>
    <t>0x8C</t>
  </si>
  <si>
    <t>16C306</t>
  </si>
  <si>
    <t>0x8E</t>
  </si>
  <si>
    <t>Next AI Intention (when intentions are stacked)</t>
  </si>
  <si>
    <t>16C308</t>
  </si>
  <si>
    <t>0x90</t>
  </si>
  <si>
    <t>Pointer to start of AI’s moveset</t>
  </si>
  <si>
    <t>16C30C</t>
  </si>
  <si>
    <t>0x94</t>
  </si>
  <si>
    <t>Pointer to ???</t>
  </si>
  <si>
    <t>16C3A8</t>
  </si>
  <si>
    <t>p4 AI brain starts here</t>
  </si>
  <si>
    <t>16C440</t>
  </si>
  <si>
    <t>Stores P1 Attack Balance here</t>
  </si>
  <si>
    <t>Also looked at offset 20</t>
  </si>
  <si>
    <t>16C450</t>
  </si>
  <si>
    <t>P1 Seems to be anchoring address – also identifies player?</t>
  </si>
  <si>
    <t>00000000 for P1</t>
  </si>
  <si>
    <t>Offset between players is 0x314 (788d)</t>
  </si>
  <si>
    <t>16C454</t>
  </si>
  <si>
    <t>was loaded immediately after won match? Is this the last player to attack you? Resets to FFFFFFF when you grapple someone</t>
  </si>
  <si>
    <t>FFFF FFFF</t>
  </si>
  <si>
    <t>16C458</t>
  </si>
  <si>
    <t>P1 Used when determining move damage – base for calculating Parameter Health? Jump-off point in terms of shifts</t>
  </si>
  <si>
    <t>16C45C</t>
  </si>
  <si>
    <t>P1 Current Focus</t>
  </si>
  <si>
    <t>16C460</t>
  </si>
  <si>
    <t>Who P1 Can’t Focus on</t>
  </si>
  <si>
    <t>16C464</t>
  </si>
  <si>
    <t>Is this who P1 is attacking?  Or attacked last?</t>
  </si>
  <si>
    <t>0000 0001 for P2</t>
  </si>
  <si>
    <t>16C468</t>
  </si>
  <si>
    <t>P1 Wrestler ID4</t>
  </si>
  <si>
    <t>16C46A</t>
  </si>
  <si>
    <t>P1 Current Anim Frames Remaining</t>
  </si>
  <si>
    <t>16C46C</t>
  </si>
  <si>
    <t>P1 Current Anim Frame</t>
  </si>
  <si>
    <t>16C46E</t>
  </si>
  <si>
    <t>Also at 704C4 and …</t>
  </si>
  <si>
    <t>16C470</t>
  </si>
  <si>
    <t>P1 Broad Action Mod</t>
  </si>
  <si>
    <t>16C472</t>
  </si>
  <si>
    <t>16C474</t>
  </si>
  <si>
    <t>P1 How long you’ve been in the current Broad Action</t>
  </si>
  <si>
    <t>Counts 1/30 second ticks</t>
  </si>
  <si>
    <t>16C476</t>
  </si>
  <si>
    <t>P1 Current Health</t>
  </si>
  <si>
    <t>16C478</t>
  </si>
  <si>
    <t>P1 Max Health</t>
  </si>
  <si>
    <t>16C47A</t>
  </si>
  <si>
    <t>P1 Spirit</t>
  </si>
  <si>
    <t>0000 to 0064</t>
  </si>
  <si>
    <t>16C47C</t>
  </si>
  <si>
    <t>P1 Spirit Countdown</t>
  </si>
  <si>
    <t>16C47E</t>
  </si>
  <si>
    <t>P1 TKO Timer / Countup Timer when in a grapple / Countdown timer when in mount / also used when dizzy on apron?</t>
  </si>
  <si>
    <t>16C480</t>
  </si>
  <si>
    <t>P1 Wakeup Timer</t>
  </si>
  <si>
    <t>set it to 3 and can always kick out, set to 4 to make sub moves inescapable?</t>
  </si>
  <si>
    <t>16C482</t>
  </si>
  <si>
    <t>0x32</t>
  </si>
  <si>
    <t>16C484</t>
  </si>
  <si>
    <t>16C486</t>
  </si>
  <si>
    <t>0x36</t>
  </si>
  <si>
    <t>P1 Counts No of Times You’ve Been Pinned</t>
  </si>
  <si>
    <t>16C488</t>
  </si>
  <si>
    <t>FFFF</t>
  </si>
  <si>
    <t>16C48A</t>
  </si>
  <si>
    <t>P1 Damage Just Received</t>
  </si>
  <si>
    <t>16C48C</t>
  </si>
  <si>
    <t>16C48E</t>
  </si>
  <si>
    <t>16C490</t>
  </si>
  <si>
    <t>16C492</t>
  </si>
  <si>
    <t>0x42</t>
  </si>
  <si>
    <t>16C494</t>
  </si>
  <si>
    <t>P1 Recovery Counter (counts up) Current Health</t>
  </si>
  <si>
    <t>Counts to 3C normally 5A when bleeding (2 seconds or 3 seconds)</t>
  </si>
  <si>
    <t>16C496</t>
  </si>
  <si>
    <t>0x46</t>
  </si>
  <si>
    <t>16C498</t>
  </si>
  <si>
    <t>Updated after every strike received – changes to 02 when P2 hits P1 – looked at during stumble back calculation</t>
  </si>
  <si>
    <t>0000 0002</t>
  </si>
  <si>
    <t>16C49C</t>
  </si>
  <si>
    <t>??? But was used after a move hit</t>
  </si>
  <si>
    <t>16C4A0</t>
  </si>
  <si>
    <t>Grapple Status</t>
  </si>
  <si>
    <t>See Grapple Status bitfield</t>
  </si>
  <si>
    <t>16C4A4</t>
  </si>
  <si>
    <t>16C4A6</t>
  </si>
  <si>
    <t>16C4A8</t>
  </si>
  <si>
    <t>16C4AA</t>
  </si>
  <si>
    <t>0x5A</t>
  </si>
  <si>
    <t>16C4AC</t>
  </si>
  <si>
    <t>0x5C</t>
  </si>
  <si>
    <t>In ring, ringside, apron, turnbuckle etc – 0008 for ring, 0010 for apron, 0020 for outside, 0040 for ramp – Freem has list</t>
  </si>
  <si>
    <t>ALSO STATUS – SEE SEPARATE BITFIELD</t>
  </si>
  <si>
    <t>16C4AE</t>
  </si>
  <si>
    <t>0x5E</t>
  </si>
  <si>
    <t>P1 Was used in mount punches (was 0004) and after TKO calc (0002), AI, etc</t>
  </si>
  <si>
    <t>0180 when prone?</t>
  </si>
  <si>
    <t>16C4B0</t>
  </si>
  <si>
    <t>P1 Used in pinfall timer … don’t know why … also used after TKO (was 0300 before)</t>
  </si>
  <si>
    <t>Maybe a status?  So 0400 being pinned?</t>
  </si>
  <si>
    <t>Used by AI maybe?</t>
  </si>
  <si>
    <t>16C4B2</t>
  </si>
  <si>
    <t>0x62</t>
  </si>
  <si>
    <t>P1 changes when you do a speciality, finisher, Front or Back Special - was used after TKO calc (was 0000) – was used when calculating reversals?</t>
  </si>
  <si>
    <t>0080 if you’ve taunted?  0010 for dash attack, 0001 for speciality, 0004 for special move, 0003 for finisher?</t>
  </si>
  <si>
    <t>16C4B4</t>
  </si>
  <si>
    <t>P1 Mount Punch Gauge (immediately after match was won, moved status into here)</t>
  </si>
  <si>
    <t>16C4B6</t>
  </si>
  <si>
    <t>0x66</t>
  </si>
  <si>
    <t>P1 ??? Was used in TKO calculation, was also set to 0000 after elbow grapple received</t>
  </si>
  <si>
    <t>Was 0000 then became 0041</t>
  </si>
  <si>
    <t>16C4B8</t>
  </si>
  <si>
    <t>??? Was used in AI when deciding whether to grab weapon and others?</t>
  </si>
  <si>
    <t>Bitfield? 0010 0111 1001 ANDI after new wakeup timer calculated</t>
  </si>
  <si>
    <t>If status is 0001, 0008, 0010, 0020, 0040 or 0200 … set normal wakeup timer to 000F</t>
  </si>
  <si>
    <t>16C4B9</t>
  </si>
  <si>
    <t>0x69</t>
  </si>
  <si>
    <t>Is this the P1 win / loss status?</t>
  </si>
  <si>
    <t>03 walks out, 08 says 3 count but is draw, Change this to F0 and it goes to final round</t>
  </si>
  <si>
    <t>16C4BA</t>
  </si>
  <si>
    <t>0x6A</t>
  </si>
  <si>
    <t>See Player Status</t>
  </si>
  <si>
    <t>16C4BB</t>
  </si>
  <si>
    <t>0x6B</t>
  </si>
  <si>
    <t>16C4BC</t>
  </si>
  <si>
    <t>P1 Reversal Byte for Ground Grapples – but opposite from x71</t>
  </si>
  <si>
    <t>16C4BD</t>
  </si>
  <si>
    <t>0x6D</t>
  </si>
  <si>
    <t>16C4BE</t>
  </si>
  <si>
    <t>0x6E</t>
  </si>
  <si>
    <t>16C4BF</t>
  </si>
  <si>
    <t>0x6F</t>
  </si>
  <si>
    <t>00, 02, 04, 0C</t>
  </si>
  <si>
    <t>16C4C0</t>
  </si>
  <si>
    <t>P1 Weapon Type (Club v Chair type)</t>
  </si>
  <si>
    <t>16C4C1</t>
  </si>
  <si>
    <t>0x71</t>
  </si>
  <si>
    <t>P1 Grapple Reversal Byte</t>
  </si>
  <si>
    <t>If you change this to 0C mid-grapple, always counters</t>
  </si>
  <si>
    <t>16C4C2</t>
  </si>
  <si>
    <t>0c72</t>
  </si>
  <si>
    <t>When P1 can be assisted, this turns to 05 // key is to change this to 01 – then they can be assisted!  If a repeating move, turn to 05 – 80147894 code</t>
  </si>
  <si>
    <t>05 or 00 (cant enter) / WldFB also changed this to 06 to escape sub / turn to 01 when in Mount</t>
  </si>
  <si>
    <t>0000 0101 is 05, changed to this for Legal man when they do a  move that can be assisted, 0001 0001 (11) when legal man holding opps arms,</t>
  </si>
  <si>
    <t>16C4C3</t>
  </si>
  <si>
    <t>0x73</t>
  </si>
  <si>
    <t>Looked at this just before being removed from interference?? Set this to 01 and they cant move or be hit! 08 when interference occurring (cant move)</t>
  </si>
  <si>
    <t>16C4C4</t>
  </si>
  <si>
    <t>Something to do with Test of Strength?  On apron in tag match is 08, 07 if walking out after a tag</t>
  </si>
  <si>
    <t>0000 v 0008 (test of strength has happened) – 0008 means it has happened</t>
  </si>
  <si>
    <t>Yes, these two addies control various statuses</t>
  </si>
  <si>
    <t>03 here returns tag partner to apron, 08 is on apron, 01 is free in ring, 05 is just after tag (and allows both to ring in)</t>
  </si>
  <si>
    <t>16C4C5</t>
  </si>
  <si>
    <t>0x75</t>
  </si>
  <si>
    <t>P1 Status (various)</t>
  </si>
  <si>
    <t>bloodied on 02?</t>
  </si>
  <si>
    <t>Tag in looks for 0002 here…</t>
  </si>
  <si>
    <t>16C4C8</t>
  </si>
  <si>
    <t>P1 – seems to count strikes in quick succession, before resetting to 0000 – used for stumble back percentage</t>
  </si>
  <si>
    <t>16C4C9</t>
  </si>
  <si>
    <t>0x79</t>
  </si>
  <si>
    <t xml:space="preserve">P1 – this is zero’d just after a new wakeup timer is saved to offset 30 </t>
  </si>
  <si>
    <t>16C4CA</t>
  </si>
  <si>
    <t>0x7A</t>
  </si>
  <si>
    <t>16C4CB</t>
  </si>
  <si>
    <t>0x7B</t>
  </si>
  <si>
    <t>P1 Combo and Mount Punch Directions (Up Down L R Neutral)</t>
  </si>
  <si>
    <t>0 is neutral, 1 is Up, 2 is Right, 3 is Down, 4 is Left</t>
  </si>
  <si>
    <t>16C4CC</t>
  </si>
  <si>
    <t>P1 Most Damaged Limb</t>
  </si>
  <si>
    <t>00,01,02,03</t>
  </si>
  <si>
    <t>16C4D2</t>
  </si>
  <si>
    <t>0x82</t>
  </si>
  <si>
    <t>Looked at this (against other apron man) before player on apron taunted</t>
  </si>
  <si>
    <t>16C4D4</t>
  </si>
  <si>
    <t>16C4D6</t>
  </si>
  <si>
    <t>0x86</t>
  </si>
  <si>
    <t>Consecutive grapples suffered without response</t>
  </si>
  <si>
    <t>16C4D8</t>
  </si>
  <si>
    <t>P1 Mount Punch Counter 2 and Combo Counter ALSO IN AIR TIMER?</t>
  </si>
  <si>
    <t>16C4DA</t>
  </si>
  <si>
    <t>P1 – set to zero when Mounted – successful counter punches?</t>
  </si>
  <si>
    <t>16C4DC</t>
  </si>
  <si>
    <t>P1 Mount Punch Counter 1 (when 10, rollover)</t>
  </si>
  <si>
    <t>16C4DE</t>
  </si>
  <si>
    <t>P1 – move ID for move just received?</t>
  </si>
  <si>
    <t>16C4E0</t>
  </si>
  <si>
    <t>ID4 of interfering wrestler on their behalf</t>
  </si>
  <si>
    <t>16C4E2</t>
  </si>
  <si>
    <t>0x92</t>
  </si>
  <si>
    <t>16C4E4</t>
  </si>
  <si>
    <t>P1 – time in ring as legal man</t>
  </si>
  <si>
    <t>16C4E6</t>
  </si>
  <si>
    <t>0x96</t>
  </si>
  <si>
    <t>P1 – health at time they tagged in</t>
  </si>
  <si>
    <t>16C4EC</t>
  </si>
  <si>
    <t>0x9C</t>
  </si>
  <si>
    <t>P1 – maybe last direction dashed in?</t>
  </si>
  <si>
    <t>16C4F0</t>
  </si>
  <si>
    <t>0xA0</t>
  </si>
  <si>
    <t>P1 Facing Direction at point that Grapple commences</t>
  </si>
  <si>
    <t>16C4F4</t>
  </si>
  <si>
    <t>0xA4</t>
  </si>
  <si>
    <t>P1 Bumping into Object Direction (Barrier) – used when getting a weapon</t>
  </si>
  <si>
    <t>This is saved as a word</t>
  </si>
  <si>
    <t>16C4F5</t>
  </si>
  <si>
    <t>0xA5</t>
  </si>
  <si>
    <t>16C4F6</t>
  </si>
  <si>
    <t>0xA6</t>
  </si>
  <si>
    <t>P1 Bumping into Object Direction (Ring) – used when determining how to climb in and out of ring?</t>
  </si>
  <si>
    <t>16C4F7</t>
  </si>
  <si>
    <t>0xA7</t>
  </si>
  <si>
    <t>16C4F8</t>
  </si>
  <si>
    <t>0xA8</t>
  </si>
  <si>
    <t>P1 X Coordinate</t>
  </si>
  <si>
    <t>16C4FC</t>
  </si>
  <si>
    <t>0xAC</t>
  </si>
  <si>
    <t>P1 Y Coordinate</t>
  </si>
  <si>
    <t>16C500</t>
  </si>
  <si>
    <t>0xB0</t>
  </si>
  <si>
    <t>P1 Z Coordinate</t>
  </si>
  <si>
    <t>16C504</t>
  </si>
  <si>
    <t>0xB4</t>
  </si>
  <si>
    <t>16C508</t>
  </si>
  <si>
    <t>0xB8</t>
  </si>
  <si>
    <t>Is this base for coordinates?</t>
  </si>
  <si>
    <t>16C518</t>
  </si>
  <si>
    <t>0xC8</t>
  </si>
  <si>
    <t>16C51C</t>
  </si>
  <si>
    <t>0xCC</t>
  </si>
  <si>
    <t>16C520</t>
  </si>
  <si>
    <t>0cD0</t>
  </si>
  <si>
    <t>Offset 20 Z</t>
  </si>
  <si>
    <t>16C524</t>
  </si>
  <si>
    <t>0xD4</t>
  </si>
  <si>
    <t>16C528</t>
  </si>
  <si>
    <t>0xD8</t>
  </si>
  <si>
    <t>X</t>
  </si>
  <si>
    <t>Y</t>
  </si>
  <si>
    <t>Z</t>
  </si>
  <si>
    <t>P1 Left / Right (-200 is far left of ring, 200 is far right of ring)</t>
  </si>
  <si>
    <t>0xD0</t>
  </si>
  <si>
    <t>P1 Depth in Ring (-200 is at nearest rope, 200 at further away rope)</t>
  </si>
  <si>
    <t>Used in AI calc – compares it to P2 equivalent, does some sq rt</t>
  </si>
  <si>
    <t>16C698</t>
  </si>
  <si>
    <t>0x248</t>
  </si>
  <si>
    <t>P1 Pointer to some other collision coordinate details at 80175150?</t>
  </si>
  <si>
    <t>16C6CC</t>
  </si>
  <si>
    <t>0x27C</t>
  </si>
  <si>
    <t>16C6D0</t>
  </si>
  <si>
    <t>0x280</t>
  </si>
  <si>
    <t>16C6D4</t>
  </si>
  <si>
    <t>0x284</t>
  </si>
  <si>
    <t>16C6F4</t>
  </si>
  <si>
    <t>0x2A4</t>
  </si>
  <si>
    <t>P1 Head Health</t>
  </si>
  <si>
    <t>16C6F8</t>
  </si>
  <si>
    <t>0x2A8</t>
  </si>
  <si>
    <t>P1 Body Health</t>
  </si>
  <si>
    <t>16C6FC</t>
  </si>
  <si>
    <t>0x2AC</t>
  </si>
  <si>
    <t>P1 Arms Health</t>
  </si>
  <si>
    <t>16C700</t>
  </si>
  <si>
    <t>0x2B0</t>
  </si>
  <si>
    <t>P1 Legs Health</t>
  </si>
  <si>
    <t>16C704</t>
  </si>
  <si>
    <t>0x2B4</t>
  </si>
  <si>
    <t>P1 Flying Health</t>
  </si>
  <si>
    <t>16C708</t>
  </si>
  <si>
    <t>0x2b8</t>
  </si>
  <si>
    <t>Something to do with Tag Cut Play – P1 ring in yes/no – likely bitfield</t>
  </si>
  <si>
    <t>05 or 00 (cant enter) – or is it 06 for tag in (can be either 06 0r 0E)</t>
  </si>
  <si>
    <t>sometimes loaded as a whole word</t>
  </si>
  <si>
    <t>16C709</t>
  </si>
  <si>
    <t>0x2b9</t>
  </si>
  <si>
    <t>16C70A</t>
  </si>
  <si>
    <t>0x2BA</t>
  </si>
  <si>
    <t>P1 – unknown but was reset to 0000 after a TKO</t>
  </si>
  <si>
    <t>Was looking for 0080 here when pin move hits (and in a tag match)</t>
  </si>
  <si>
    <t>0080 when pinning, 0088 for successful pin, 00A2 when opp kicking out, 0001 when starting to apply sub, A1 when letting opp out of pin, 01 when picking up, 09 when lifting from half prone, 02 being pinned, set to 08 and theyll tap out (switching to 28), bell rings but match doesn’t end</t>
  </si>
  <si>
    <t>16C70C</t>
  </si>
  <si>
    <t>0x2BC</t>
  </si>
  <si>
    <t>FFFFFFFF or 00000001</t>
  </si>
  <si>
    <t>Changes at various points – grapple, strike, standup etc</t>
  </si>
  <si>
    <t>16C710</t>
  </si>
  <si>
    <t>0x2C0</t>
  </si>
  <si>
    <t>FFFFFFFF</t>
  </si>
  <si>
    <t>16C714</t>
  </si>
  <si>
    <t>0x2C4</t>
  </si>
  <si>
    <t>Pointer to start of P1 Stats/Parameters – 8009C3B0</t>
  </si>
  <si>
    <t>16C718</t>
  </si>
  <si>
    <t>0x2C8</t>
  </si>
  <si>
    <t>Base for loading TOKIs?  Loads part of Toki2 as a half word here, but first we ANDI (3FF) and SLL 2</t>
  </si>
  <si>
    <t>End of animation status: facing direction, up or down, holding arm, etc</t>
  </si>
  <si>
    <t>16C71A</t>
  </si>
  <si>
    <t>0x2CA</t>
  </si>
  <si>
    <t>Loads 2nd half of Toki 2 as a halfword here, … erm not yet</t>
  </si>
  <si>
    <t>16C71C</t>
  </si>
  <si>
    <t>0x2CC</t>
  </si>
  <si>
    <t>Offset 4 from base – loads Toki2 byte 4 (no of frames in move) here</t>
  </si>
  <si>
    <t>This is added to the Wakeup Timer when you go to the top rope!</t>
  </si>
  <si>
    <t>16C71D</t>
  </si>
  <si>
    <t>0x2CD</t>
  </si>
  <si>
    <t>Offset 5 from base – single/repeating? (0x01 after SRL 7)</t>
  </si>
  <si>
    <t>16C71E</t>
  </si>
  <si>
    <t>0x2CE</t>
  </si>
  <si>
    <t>Offset 6 from base – if action cam has ANDI 0F, put that in here (end of anim status?)</t>
  </si>
  <si>
    <t>16C71F</t>
  </si>
  <si>
    <t>0x2CF</t>
  </si>
  <si>
    <t>Offset 7 from base – load first part of Toki2 here (first divide it by 10)</t>
  </si>
  <si>
    <t>16C720</t>
  </si>
  <si>
    <t>0x2D0</t>
  </si>
  <si>
    <t>Offset 8 from base – beginning frame for damage?</t>
  </si>
  <si>
    <t>16C721</t>
  </si>
  <si>
    <t>0x2D1</t>
  </si>
  <si>
    <t>Offset 9 from base – end frame for damage</t>
  </si>
  <si>
    <t>16C722</t>
  </si>
  <si>
    <t>0x2D2</t>
  </si>
  <si>
    <t>Offset A from base – unknown toki1 value (0x12)</t>
  </si>
  <si>
    <t>16C723</t>
  </si>
  <si>
    <t>0x2D3</t>
  </si>
  <si>
    <t>Offset B from base – unknown toki1 value (0x13)</t>
  </si>
  <si>
    <t>16C724</t>
  </si>
  <si>
    <t>0x2D4</t>
  </si>
  <si>
    <t>Offset C from base -mist or not (01)</t>
  </si>
  <si>
    <t>16C725</t>
  </si>
  <si>
    <t>0x2D5</t>
  </si>
  <si>
    <t>Offset D from base – frame for mist</t>
  </si>
  <si>
    <t>16C726</t>
  </si>
  <si>
    <t>0x2D6</t>
  </si>
  <si>
    <t>Offset E from base – reversal frame?</t>
  </si>
  <si>
    <t>16C727</t>
  </si>
  <si>
    <t>0x2D7</t>
  </si>
  <si>
    <t>Offset F from base – unknown toki1 (0x08)</t>
  </si>
  <si>
    <t>16C728</t>
  </si>
  <si>
    <t>0x2D8</t>
  </si>
  <si>
    <t>Offset 10 from above base – reversal frame loaded here</t>
  </si>
  <si>
    <t>16C729</t>
  </si>
  <si>
    <t>0x2D9</t>
  </si>
  <si>
    <t>Offset 11 from base – breakaway frame?</t>
  </si>
  <si>
    <t>16C72A</t>
  </si>
  <si>
    <t>0x2DA</t>
  </si>
  <si>
    <t>Offset 12 from base – whether motion effect or not?</t>
  </si>
  <si>
    <t>16C72B</t>
  </si>
  <si>
    <t>0x2DB</t>
  </si>
  <si>
    <t>Offset 13 from base – motion effect frame</t>
  </si>
  <si>
    <t>16C72C</t>
  </si>
  <si>
    <t>0x2DC</t>
  </si>
  <si>
    <t>Offset 14 from base – ground hold interrupt frame?</t>
  </si>
  <si>
    <t>16C72D</t>
  </si>
  <si>
    <t>0x2DD</t>
  </si>
  <si>
    <t>Offset 15 from base – unknown toki1 value (0x10)</t>
  </si>
  <si>
    <t>16C72E</t>
  </si>
  <si>
    <t>0x2DE</t>
  </si>
  <si>
    <t>Offset 16 from base – unknown toki1 value (0x02)</t>
  </si>
  <si>
    <t>16C72F</t>
  </si>
  <si>
    <t>0x2DF</t>
  </si>
  <si>
    <t>Offset 17 from base – action cam number (after a SRL 4)</t>
  </si>
  <si>
    <t>16C730</t>
  </si>
  <si>
    <t>0x2E0</t>
  </si>
  <si>
    <t>Offset 18 from base – byte 0D of toki1 – Frame for Camera Effect</t>
  </si>
  <si>
    <t>16C731</t>
  </si>
  <si>
    <t>0x2E1</t>
  </si>
  <si>
    <t>Offset 19 from base – byte 0E of toki1 – Camera Effect Type</t>
  </si>
  <si>
    <t>16C732</t>
  </si>
  <si>
    <t>0x2E2</t>
  </si>
  <si>
    <t>Offset 1A from base – byte 0F of toki1 – Replay Frame</t>
  </si>
  <si>
    <t>16C733</t>
  </si>
  <si>
    <t>0x2E3</t>
  </si>
  <si>
    <t>16C734</t>
  </si>
  <si>
    <t>0x2E4</t>
  </si>
  <si>
    <t>P1 Used before move reversal ??? was 0 … some shifts, but remained 0</t>
  </si>
  <si>
    <t>16C735</t>
  </si>
  <si>
    <t>0x2E5</t>
  </si>
  <si>
    <t>16C736</t>
  </si>
  <si>
    <t>0x2E6</t>
  </si>
  <si>
    <t>P1 Used before move reversal ??? an immediate changes this to 01 near start of process</t>
  </si>
  <si>
    <t>16C738</t>
  </si>
  <si>
    <t>0x2E8</t>
  </si>
  <si>
    <t>P1 Current Move Moveslot</t>
  </si>
  <si>
    <t>16C73A</t>
  </si>
  <si>
    <t>0x2EA</t>
  </si>
  <si>
    <t>P1 Current Move</t>
  </si>
  <si>
    <t>16C73C</t>
  </si>
  <si>
    <t>0x2EC</t>
  </si>
  <si>
    <t>P1 Current Move Reversal ID</t>
  </si>
  <si>
    <t>16C73E</t>
  </si>
  <si>
    <t>0x2EE</t>
  </si>
  <si>
    <t>16C740</t>
  </si>
  <si>
    <t>0x2F0</t>
  </si>
  <si>
    <t>P1 Current Move damage mod</t>
  </si>
  <si>
    <t>16C744</t>
  </si>
  <si>
    <t>0x2F4</t>
  </si>
  <si>
    <t>P1 30 Which second in 30 Second Counter for Recent Damage – used to allocate damage into locations in the log</t>
  </si>
  <si>
    <t>Was 02 when damage received</t>
  </si>
  <si>
    <t>16C748</t>
  </si>
  <si>
    <t>0x2F8</t>
  </si>
  <si>
    <t>P1 Pointer to Damage sustained in last 30 seconds logs</t>
  </si>
  <si>
    <t>16C74C</t>
  </si>
  <si>
    <t>0x2FC</t>
  </si>
  <si>
    <t>Not sure what this is .. saved 0000 0000 here after mist stuff</t>
  </si>
  <si>
    <t>16C750</t>
  </si>
  <si>
    <t>0x300</t>
  </si>
  <si>
    <t>16C754</t>
  </si>
  <si>
    <t>0x304</t>
  </si>
  <si>
    <t>16C758</t>
  </si>
  <si>
    <t>0x308</t>
  </si>
  <si>
    <t>No longer legal man – time since tag was made / time since entry</t>
  </si>
  <si>
    <t>16C75C</t>
  </si>
  <si>
    <t>0x30C</t>
  </si>
  <si>
    <t>16C75E</t>
  </si>
  <si>
    <t>0x30E</t>
  </si>
  <si>
    <t>P1 Points Left (Shoot match)</t>
  </si>
  <si>
    <t>16C760</t>
  </si>
  <si>
    <t>0x310</t>
  </si>
  <si>
    <t>P1 Counts the number of times Downed (TKO’d)</t>
  </si>
  <si>
    <t>16C762</t>
  </si>
  <si>
    <t>0x312</t>
  </si>
  <si>
    <t>16C764</t>
  </si>
  <si>
    <t>P2 seems to be anchoring address</t>
  </si>
  <si>
    <t>16C768</t>
  </si>
  <si>
    <t>16C76C</t>
  </si>
  <si>
    <t>16C770</t>
  </si>
  <si>
    <t>16C772</t>
  </si>
  <si>
    <t>P2 Current Focus</t>
  </si>
  <si>
    <t>16c774</t>
  </si>
  <si>
    <t>16C776</t>
  </si>
  <si>
    <t>Who P2 Can’t Focus on</t>
  </si>
  <si>
    <t>16C778</t>
  </si>
  <si>
    <t>16C77A</t>
  </si>
  <si>
    <t>16C77C</t>
  </si>
  <si>
    <t>16C77E</t>
  </si>
  <si>
    <t>P2 Current Anim Frames Remaining</t>
  </si>
  <si>
    <t>16C780</t>
  </si>
  <si>
    <t>P2 Current Anim Frame</t>
  </si>
  <si>
    <t>16C782</t>
  </si>
  <si>
    <t>16C784</t>
  </si>
  <si>
    <t>P2 Broad Action</t>
  </si>
  <si>
    <t>16C786</t>
  </si>
  <si>
    <t>P2 sub broad action mod</t>
  </si>
  <si>
    <t>16C788</t>
  </si>
  <si>
    <t>P2 How long you’ve been in the current Broad Action</t>
  </si>
  <si>
    <t>16C78A</t>
  </si>
  <si>
    <t>P2 Current Health</t>
  </si>
  <si>
    <t>16C78C</t>
  </si>
  <si>
    <t>P2 Max Health</t>
  </si>
  <si>
    <t>16C78F</t>
  </si>
  <si>
    <t>P2 Spirit</t>
  </si>
  <si>
    <t>16C790</t>
  </si>
  <si>
    <t>P2 Spirit Countdown</t>
  </si>
  <si>
    <t>16C792</t>
  </si>
  <si>
    <t>P2 TKO Timer (and countup timer when in grapple)</t>
  </si>
  <si>
    <t>16C794</t>
  </si>
  <si>
    <t>P2 WakeUp Timer</t>
  </si>
  <si>
    <t>16C796</t>
  </si>
  <si>
    <t>P2 Counts No of Times You Bounce off Ropes – reset when someone else whips you off ropes</t>
  </si>
  <si>
    <t>16C798</t>
  </si>
  <si>
    <t>16C79A</t>
  </si>
  <si>
    <t>number of times P2 has been pinned?</t>
  </si>
  <si>
    <t>16C79C</t>
  </si>
  <si>
    <t>P2 in Contact with Ropes?  Changes to FFFE</t>
  </si>
  <si>
    <t>16C79E</t>
  </si>
  <si>
    <t>P2 Damage Just Received?</t>
  </si>
  <si>
    <t>16C7A0</t>
  </si>
  <si>
    <t>P2 1 Second Countdown after Damage Received?</t>
  </si>
  <si>
    <t>16C7A2</t>
  </si>
  <si>
    <t>16C7A4</t>
  </si>
  <si>
    <t>16C7A6</t>
  </si>
  <si>
    <t>16C7A8</t>
  </si>
  <si>
    <t>P2 2 second countup when youre standing around – recovery?</t>
  </si>
  <si>
    <t>16C7AA</t>
  </si>
  <si>
    <t>16C7AC</t>
  </si>
  <si>
    <t>16C7AE</t>
  </si>
  <si>
    <t>16C7B0</t>
  </si>
  <si>
    <t>16C7C0</t>
  </si>
  <si>
    <t>P2 Current Location (and some actions like running)</t>
  </si>
  <si>
    <t>16C7C2</t>
  </si>
  <si>
    <t>16C7C4</t>
  </si>
  <si>
    <t>P2 Another Status thing? This is used in pinfall timer … don’t know why</t>
  </si>
  <si>
    <t>0400 is being pinned, 0700 makes it count – probably different bits for diff status</t>
  </si>
  <si>
    <t>16C7CD</t>
  </si>
  <si>
    <t>Change this and P2 win / loss status changes – various</t>
  </si>
  <si>
    <t>01 and 03 = p2 walks out and cant return, 08 and P1 gets 3 count, 10 = double ring out, 20 give up, 40 is TKO,</t>
  </si>
  <si>
    <t>This is player status</t>
  </si>
  <si>
    <t>00 not in match and cant get in ring, 18 in match and can be pinned</t>
  </si>
  <si>
    <t>16C7D3</t>
  </si>
  <si>
    <t>P2 In special or not</t>
  </si>
  <si>
    <t>16C7D4</t>
  </si>
  <si>
    <t>How P2 Holds Weapon</t>
  </si>
  <si>
    <t>16C7D6</t>
  </si>
  <si>
    <t>0x72</t>
  </si>
  <si>
    <t>Something to do with Tag Cut Play</t>
  </si>
  <si>
    <t>05 or 00 (cant enter)</t>
  </si>
  <si>
    <t>16C7D8</t>
  </si>
  <si>
    <t>Whether has done test of strength</t>
  </si>
  <si>
    <t>00 for no, 0008 for yes</t>
  </si>
  <si>
    <t>16C7D9</t>
  </si>
  <si>
    <t>Has P2 been busted open – 02 for yes</t>
  </si>
  <si>
    <t>02 for bleeding?</t>
  </si>
  <si>
    <t>16C7DC</t>
  </si>
  <si>
    <t>P2 Something to do with blood?  Hit in a row</t>
  </si>
  <si>
    <t>16C7E0</t>
  </si>
  <si>
    <t>P2 Most Damaged Limb</t>
  </si>
  <si>
    <t>16C80C</t>
  </si>
  <si>
    <t>Coordinate</t>
  </si>
  <si>
    <t>16C810</t>
  </si>
  <si>
    <t>16C814</t>
  </si>
  <si>
    <t>16C818</t>
  </si>
  <si>
    <t>P2 Facing Direction</t>
  </si>
  <si>
    <t>0000 is due north</t>
  </si>
  <si>
    <t>16CA08</t>
  </si>
  <si>
    <t>P2 Head Health</t>
  </si>
  <si>
    <t>16CA0C</t>
  </si>
  <si>
    <t>P2 Body Health</t>
  </si>
  <si>
    <t>16CA10</t>
  </si>
  <si>
    <t>P2 Arm Health</t>
  </si>
  <si>
    <t>16CA14</t>
  </si>
  <si>
    <t>P2 Legs Health</t>
  </si>
  <si>
    <t>16CA18</t>
  </si>
  <si>
    <t>P2 Flying Health</t>
  </si>
  <si>
    <t>16CA1C</t>
  </si>
  <si>
    <t>Something to do with Tag Cut Play – is this P2 ring in yes/no?</t>
  </si>
  <si>
    <t>00 (cant enter) or 05</t>
  </si>
  <si>
    <t>16CA28</t>
  </si>
  <si>
    <t>0x02C4</t>
  </si>
  <si>
    <t>Pointer to P2 Stats/Parameters</t>
  </si>
  <si>
    <t>8009C3EC</t>
  </si>
  <si>
    <t>16CA32</t>
  </si>
  <si>
    <t>used when struggling to get up?</t>
  </si>
  <si>
    <t>16CA4C</t>
  </si>
  <si>
    <t>P2 Current Move</t>
  </si>
  <si>
    <t>16CA54</t>
  </si>
  <si>
    <t>P2 Current Move damage mod</t>
  </si>
  <si>
    <t>16CA58</t>
  </si>
  <si>
    <t>P2 30 Second Counter for Recent Damage – used to allocate damage into locations in the log</t>
  </si>
  <si>
    <t>16CA5C</t>
  </si>
  <si>
    <t>Pointer to 8015DACC – points to recent moves that P2 has taken?</t>
  </si>
  <si>
    <t>16CA78</t>
  </si>
  <si>
    <t>p3 Anchoring addy</t>
  </si>
  <si>
    <t>16CA86</t>
  </si>
  <si>
    <t>P3 Current Focus</t>
  </si>
  <si>
    <t>16CA98</t>
  </si>
  <si>
    <t>P3 Broad Action Mod</t>
  </si>
  <si>
    <t>16CAE2</t>
  </si>
  <si>
    <t>P3 Status (e.g., Manager is 05)</t>
  </si>
  <si>
    <t>16CAEA</t>
  </si>
  <si>
    <t>08 means you cant enter, 0e means you can</t>
  </si>
  <si>
    <t>16CD30</t>
  </si>
  <si>
    <t>16CD8C</t>
  </si>
  <si>
    <t>Start of addies (sometimes used in AI calcs) – P4 Base???</t>
  </si>
  <si>
    <t>16CD9B</t>
  </si>
  <si>
    <t>P4 Focus</t>
  </si>
  <si>
    <t>16CDAC</t>
  </si>
  <si>
    <t>P4 Broad Action Mod</t>
  </si>
  <si>
    <t>16CDF6</t>
  </si>
  <si>
    <t>P4 Status (e.g., Manager is 05)</t>
  </si>
  <si>
    <t>16CDFE</t>
  </si>
  <si>
    <t>16D044???</t>
  </si>
  <si>
    <t>Something to do with Tag Cut Play – this cant be in the right place?</t>
  </si>
  <si>
    <t>16CE54</t>
  </si>
  <si>
    <t>A repeat of a float from 16C190</t>
  </si>
  <si>
    <t>32</t>
  </si>
  <si>
    <t>16CE58</t>
  </si>
  <si>
    <t>Repeat from 16C194</t>
  </si>
  <si>
    <t>16CE5C</t>
  </si>
  <si>
    <t>Repeat from 16C198</t>
  </si>
  <si>
    <t>16D0A0</t>
  </si>
  <si>
    <t>Pointer –  Pointer to relevant Players AI Map</t>
  </si>
  <si>
    <t>8016C278</t>
  </si>
  <si>
    <t>16D0A4</t>
  </si>
  <si>
    <t>P1 AI Late Prone logic</t>
  </si>
  <si>
    <t>16D0B0</t>
  </si>
  <si>
    <t>Start of addies relating to animations?</t>
  </si>
  <si>
    <t>Each Master Move Value (e.g., 000A for elbow) has a corresponding value here</t>
  </si>
  <si>
    <t>That value relates to an animation filetable ID</t>
  </si>
  <si>
    <t>Ends at 80174EF0</t>
  </si>
  <si>
    <t>16D97C</t>
  </si>
  <si>
    <t>Saved offset 0x04 from player map here … last person to attack P1</t>
  </si>
  <si>
    <t>16DFC0</t>
  </si>
  <si>
    <t>Menu Stuff</t>
  </si>
  <si>
    <t>16FF80</t>
  </si>
  <si>
    <t>Start of 16 bit addresses for menu options when Puroresu Rules selected</t>
  </si>
  <si>
    <t>DB240 in ROM!</t>
  </si>
  <si>
    <t>16FF98</t>
  </si>
  <si>
    <t>Start of 16 bit addresses for menu options when Shoot Rules selected</t>
  </si>
  <si>
    <t>17017C</t>
  </si>
  <si>
    <t>Start of addies showing skill bandings for the wrestlers in KRS mode?</t>
  </si>
  <si>
    <t>B00DB43C in ROM!!</t>
  </si>
  <si>
    <t>17021C</t>
  </si>
  <si>
    <t>Is this number of wrestlers in Singles Group 1</t>
  </si>
  <si>
    <t>17021D</t>
  </si>
  <si>
    <t>Rank of first wrestler in Singles Group 1</t>
  </si>
  <si>
    <t>17021E</t>
  </si>
  <si>
    <t>Number of wrestlers in Singles Group 2</t>
  </si>
  <si>
    <t>17021F</t>
  </si>
  <si>
    <t>Rank of first wrestler in Singles Group 2</t>
  </si>
  <si>
    <t>170220</t>
  </si>
  <si>
    <t>Number of wrestlers in Singles Group 3</t>
  </si>
  <si>
    <t>170221</t>
  </si>
  <si>
    <t>Rank of first wrestler in Singles Group 3</t>
  </si>
  <si>
    <t>D</t>
  </si>
  <si>
    <t>170222</t>
  </si>
  <si>
    <t>Number of wrestlers in Guest Group</t>
  </si>
  <si>
    <t>170223</t>
  </si>
  <si>
    <t>Rank of first wrestler in Guest Group</t>
  </si>
  <si>
    <t>170224</t>
  </si>
  <si>
    <t>Identity of wrestler to be relegated from Group 1 (Singles rank 5)</t>
  </si>
  <si>
    <t>170225</t>
  </si>
  <si>
    <t>Identity of wrestler to be promoted from Group 2 (singles rank 7)</t>
  </si>
  <si>
    <t>170226</t>
  </si>
  <si>
    <t>Identity of wrestler to be relegated from Group 1 (singles rank 6)</t>
  </si>
  <si>
    <t>170227</t>
  </si>
  <si>
    <t>Identity of wrestler to be promoted from Group 2 (singles rank 8)</t>
  </si>
  <si>
    <t>170228</t>
  </si>
  <si>
    <t>Identity of wrestler to be relegated from Group 2 (Singles rank 12)</t>
  </si>
  <si>
    <t>B</t>
  </si>
  <si>
    <t>170229</t>
  </si>
  <si>
    <t>Identity of wrestler to be promoted from Group 3 (singles rank 14)</t>
  </si>
  <si>
    <t>17022A</t>
  </si>
  <si>
    <t>Identity of wrestler to be relegated from Group 2 (Singles rank 13)</t>
  </si>
  <si>
    <t>C</t>
  </si>
  <si>
    <t>17022B</t>
  </si>
  <si>
    <t>Identity of wrestler to be promoted from Group 3 (singles rank 15)</t>
  </si>
  <si>
    <t>E</t>
  </si>
  <si>
    <t>170230</t>
  </si>
  <si>
    <t>Start of addies for skill bandings of tag teams</t>
  </si>
  <si>
    <t>170278</t>
  </si>
  <si>
    <t>Is this addy that determines how many teams in Group 1?</t>
  </si>
  <si>
    <t>170284</t>
  </si>
  <si>
    <t>170285</t>
  </si>
  <si>
    <t>170286</t>
  </si>
  <si>
    <t>170287</t>
  </si>
  <si>
    <t>170288</t>
  </si>
  <si>
    <t>17028C</t>
  </si>
  <si>
    <t>Singles Match</t>
  </si>
  <si>
    <t>00</t>
  </si>
  <si>
    <t>These values put in full box score</t>
  </si>
  <si>
    <t>Match Type 0 in Match Guide</t>
  </si>
  <si>
    <t>17028D</t>
  </si>
  <si>
    <t>Tag Match</t>
  </si>
  <si>
    <t>01</t>
  </si>
  <si>
    <t>Match Type 1</t>
  </si>
  <si>
    <t>17028E</t>
  </si>
  <si>
    <t>Guest Singles Match</t>
  </si>
  <si>
    <t>80</t>
  </si>
  <si>
    <t>17028F</t>
  </si>
  <si>
    <t>Guest Tag Match</t>
  </si>
  <si>
    <t>81</t>
  </si>
  <si>
    <t>170290</t>
  </si>
  <si>
    <t>Triple Crown Title Match</t>
  </si>
  <si>
    <t>10</t>
  </si>
  <si>
    <t>170291</t>
  </si>
  <si>
    <t>Tag Title Match</t>
  </si>
  <si>
    <t>21</t>
  </si>
  <si>
    <t>170292</t>
  </si>
  <si>
    <t>All Asia Tag Title Match</t>
  </si>
  <si>
    <t>31</t>
  </si>
  <si>
    <t>170293</t>
  </si>
  <si>
    <t>Champion Carnival Final</t>
  </si>
  <si>
    <t>08</t>
  </si>
  <si>
    <t>170294</t>
  </si>
  <si>
    <t>Tag League Final</t>
  </si>
  <si>
    <t>09</t>
  </si>
  <si>
    <t>170295</t>
  </si>
  <si>
    <t>Battle Royale</t>
  </si>
  <si>
    <t>02</t>
  </si>
  <si>
    <t>170296</t>
  </si>
  <si>
    <t>Singles Single Elimination Tournament</t>
  </si>
  <si>
    <t>04</t>
  </si>
  <si>
    <t>A</t>
  </si>
  <si>
    <t>170297</t>
  </si>
  <si>
    <t>Tag Single Elimination Tournament</t>
  </si>
  <si>
    <t>41</t>
  </si>
  <si>
    <t>170298</t>
  </si>
  <si>
    <t>Champ Carnival League</t>
  </si>
  <si>
    <t>50</t>
  </si>
  <si>
    <t>170299</t>
  </si>
  <si>
    <t>Tag League League Stage</t>
  </si>
  <si>
    <t>51</t>
  </si>
  <si>
    <t>17029C</t>
  </si>
  <si>
    <t>Value used to get Match Options for Singles Match</t>
  </si>
  <si>
    <t>Multiply by 20, add to 108A5C</t>
  </si>
  <si>
    <t>000C0004 00000100 01020101 01000000 00000000</t>
  </si>
  <si>
    <t>17029D</t>
  </si>
  <si>
    <t>Value used to get Match Options for Tag Match</t>
  </si>
  <si>
    <t>020C0004 00000100 01020101 00020000 00000000</t>
  </si>
  <si>
    <t>17029E</t>
  </si>
  <si>
    <t>17029F</t>
  </si>
  <si>
    <t>1702A0</t>
  </si>
  <si>
    <t>000B0004 00000100 01020101 01000000 00000000</t>
  </si>
  <si>
    <t>1702A1</t>
  </si>
  <si>
    <t>020B0004 00000100 01020101 00020000 00000000</t>
  </si>
  <si>
    <t>1702A2</t>
  </si>
  <si>
    <t>F</t>
  </si>
  <si>
    <t>1702A3</t>
  </si>
  <si>
    <t>1702A4</t>
  </si>
  <si>
    <t>1702A5</t>
  </si>
  <si>
    <t>03000000 00000001 01020000 00000000 00000000</t>
  </si>
  <si>
    <t>1702A6</t>
  </si>
  <si>
    <t>1702A7</t>
  </si>
  <si>
    <t>1702A8</t>
  </si>
  <si>
    <t>00050001 00000100 01020101 01000000 00000000</t>
  </si>
  <si>
    <t>1702A9</t>
  </si>
  <si>
    <t>02050001 00000100 01020101 00020000 00000000</t>
  </si>
  <si>
    <t>1702AA</t>
  </si>
  <si>
    <t>1702AB</t>
  </si>
  <si>
    <t>1702AC</t>
  </si>
  <si>
    <t>1702AD</t>
  </si>
  <si>
    <t>20</t>
  </si>
  <si>
    <t>1702AE</t>
  </si>
  <si>
    <t>30</t>
  </si>
  <si>
    <t>1702AF</t>
  </si>
  <si>
    <t>1702B0</t>
  </si>
  <si>
    <t>1702B1</t>
  </si>
  <si>
    <t>1702B2</t>
  </si>
  <si>
    <t>Guest Singles Match value?</t>
  </si>
  <si>
    <t>1702B3</t>
  </si>
  <si>
    <t>1702B4</t>
  </si>
  <si>
    <t>blank</t>
  </si>
  <si>
    <t>1702B5</t>
  </si>
  <si>
    <t>1702B6</t>
  </si>
  <si>
    <t>1702B7</t>
  </si>
  <si>
    <t>1702B8</t>
  </si>
  <si>
    <t>Base Offset for singles match participants (for RNG selection)</t>
  </si>
  <si>
    <t>1702B9</t>
  </si>
  <si>
    <t>1702BA</t>
  </si>
  <si>
    <t>Booking note 10 (variation – can be one of 6 wrestlers)</t>
  </si>
  <si>
    <t>1702BB</t>
  </si>
  <si>
    <t>Booking note 10 (Group 1 - rank 1 onwards)</t>
  </si>
  <si>
    <t>1702BC</t>
  </si>
  <si>
    <t>Booking note 20 (variation for Group 2 – can be one of 7 wrestlers)</t>
  </si>
  <si>
    <t>1702BD</t>
  </si>
  <si>
    <t>Booking note 20 (Group 2: rank 7 onwards)</t>
  </si>
  <si>
    <t>1702BE</t>
  </si>
  <si>
    <t>Booking note 30 (variation for Group 3 – can be one of 7 wrestlers)</t>
  </si>
  <si>
    <t>1702BF</t>
  </si>
  <si>
    <t>Booking note 30 (Group 3: rank 14 onwards)</t>
  </si>
  <si>
    <t>1702C0</t>
  </si>
  <si>
    <t>Booking note 40 (variation for Groups 2 and 3: can be one of 14 wrestlers)</t>
  </si>
  <si>
    <t>1702C1</t>
  </si>
  <si>
    <t>Booking note 40 (Group 2 and 3: rank 7 onwards)</t>
  </si>
  <si>
    <t>1702C2</t>
  </si>
  <si>
    <t>Guest Group 50 (variance: 20)</t>
  </si>
  <si>
    <t>1702C3</t>
  </si>
  <si>
    <t>Guest Group 50 (rank 21 onwards)</t>
  </si>
  <si>
    <t>1702C4</t>
  </si>
  <si>
    <t>1702CA</t>
  </si>
  <si>
    <t>Tag Booking Group 90</t>
  </si>
  <si>
    <t>Tag Booking Group A0</t>
  </si>
  <si>
    <t>Tag Booking Group B0</t>
  </si>
  <si>
    <t>00=5 mins</t>
  </si>
  <si>
    <t>1702D8</t>
  </si>
  <si>
    <t>Time Limit for 00 Grade Matches</t>
  </si>
  <si>
    <t>0C = no limit</t>
  </si>
  <si>
    <t>02 = 15 mins</t>
  </si>
  <si>
    <t>01 = 10 mins</t>
  </si>
  <si>
    <t>1702D9</t>
  </si>
  <si>
    <t>Time Limit for 01 Grade Matches</t>
  </si>
  <si>
    <t>03 = 20 mins</t>
  </si>
  <si>
    <t>04 = 25 mins</t>
  </si>
  <si>
    <t>1702DA</t>
  </si>
  <si>
    <t>Time Limit for 02 Grade Matches</t>
  </si>
  <si>
    <t>05 = 30 mins</t>
  </si>
  <si>
    <t>0D= 3 mins</t>
  </si>
  <si>
    <t>1702DB</t>
  </si>
  <si>
    <t>Time Limit for 03? Grade Matches</t>
  </si>
  <si>
    <t>08 = 45 mins</t>
  </si>
  <si>
    <t>0e=5mins</t>
  </si>
  <si>
    <t>1702dC</t>
  </si>
  <si>
    <t>Time Limit for 04 Grade Matches</t>
  </si>
  <si>
    <t>0B = 60 mins?</t>
  </si>
  <si>
    <t>1702E0</t>
  </si>
  <si>
    <t>Start of addies for first match on basic show (singles match first) (last digit is tag or single?)</t>
  </si>
  <si>
    <t>offset is 14</t>
  </si>
  <si>
    <t>Booking Guide</t>
  </si>
  <si>
    <t>170734</t>
  </si>
  <si>
    <t>Is this used for number of seconds in a minute?  KRS results</t>
  </si>
  <si>
    <t>3C or 60d</t>
  </si>
  <si>
    <t>170A58</t>
  </si>
  <si>
    <t>Budokan Attendance thresholds</t>
  </si>
  <si>
    <t>Default, Lowest, Low, Medium, High, Highest</t>
  </si>
  <si>
    <t>170A64</t>
  </si>
  <si>
    <t>Dome Attendance thresholds</t>
  </si>
  <si>
    <t>170A70</t>
  </si>
  <si>
    <t>AKI Hall Attendance thresholds</t>
  </si>
  <si>
    <t>170A7C</t>
  </si>
  <si>
    <t>Kawasaki Attendance thresholds</t>
  </si>
  <si>
    <t>170A88</t>
  </si>
  <si>
    <t>Dome Road Attendance thresholds</t>
  </si>
  <si>
    <t>170DB5</t>
  </si>
  <si>
    <t>Number of weapon strikes to unlock Hayabusa costume items</t>
  </si>
  <si>
    <t>1573E0 is part of ASM code (seg002)</t>
  </si>
  <si>
    <t>170FC0</t>
  </si>
  <si>
    <t>Demo Mode – Singles Match ID2’s – 5 bytes each</t>
  </si>
  <si>
    <t>174EF0</t>
  </si>
  <si>
    <t>P1 AI Early Prone logic</t>
  </si>
  <si>
    <t>174EF4</t>
  </si>
  <si>
    <t>00006000 in my example</t>
  </si>
  <si>
    <t>175120</t>
  </si>
  <si>
    <t>Ref Countout (counts downwards to zero)</t>
  </si>
  <si>
    <t>0A, 14</t>
  </si>
  <si>
    <t>175124</t>
  </si>
  <si>
    <t>P1 ID4</t>
  </si>
  <si>
    <t>175126</t>
  </si>
  <si>
    <t>P2 ID4</t>
  </si>
  <si>
    <t>175140</t>
  </si>
  <si>
    <t>Stores P1 Strike Reaction parameter here</t>
  </si>
  <si>
    <t>175150</t>
  </si>
  <si>
    <t>Is this the start of collision detection addresses here?  Pointer from P1 Map leads here</t>
  </si>
  <si>
    <t>Used in interference?  Set this to 40 and cant move, 80 takes back to Main menu</t>
  </si>
  <si>
    <t>Was looking for 40</t>
  </si>
  <si>
    <t>Start of addies (20 (32d) bytes long) for P1 – used in Out of Ring AI calc</t>
  </si>
  <si>
    <t>Offset is 20</t>
  </si>
  <si>
    <t>1757B8</t>
  </si>
  <si>
    <t>Start of addies (20 (32d) bytes long) for P2 – used in Out of Ring AI calc</t>
  </si>
  <si>
    <t>16 addresses – 16 most recent moves?</t>
  </si>
  <si>
    <t>1757BA</t>
  </si>
  <si>
    <t>Addy used for P2 – out of ring calc</t>
  </si>
  <si>
    <t>1757BC</t>
  </si>
  <si>
    <t>1757BE</t>
  </si>
  <si>
    <t>1757C0</t>
  </si>
  <si>
    <t>1757C2</t>
  </si>
  <si>
    <t>1757C4</t>
  </si>
  <si>
    <t>1757C6</t>
  </si>
  <si>
    <t>1757C8</t>
  </si>
  <si>
    <t>1757CA</t>
  </si>
  <si>
    <t>last addy checked for dive to outside AI calc</t>
  </si>
  <si>
    <t>1757CC</t>
  </si>
  <si>
    <t>1757CE</t>
  </si>
  <si>
    <t>1757D0</t>
  </si>
  <si>
    <t>1757D2</t>
  </si>
  <si>
    <t>1757D4</t>
  </si>
  <si>
    <t>1757D6</t>
  </si>
  <si>
    <t>1757D8</t>
  </si>
  <si>
    <t>Last 16 moves for P3</t>
  </si>
  <si>
    <t>1757F8</t>
  </si>
  <si>
    <t>Last 16 moves for P4</t>
  </si>
  <si>
    <t>Last of P4’s 16 moves</t>
  </si>
  <si>
    <t>Triggers interference – 10 for P1, 20 for P2
Also used in Battle Royale entrances 01,02,04 and 08
First 8 bits also seem to change to 02 when camera swings in / running in</t>
  </si>
  <si>
    <t>Change to 10 to trigger interference for P1</t>
  </si>
  <si>
    <t>175850</t>
  </si>
  <si>
    <t>List of Ground Grapples?  Each 16 bit addresses (moveslots)?  Next 8 bit addy is whether a favourite or not</t>
  </si>
  <si>
    <t>175870</t>
  </si>
  <si>
    <t>List of Ground Grapples for P2?</t>
  </si>
  <si>
    <t>1758E0</t>
  </si>
  <si>
    <t>Range of floats used in strikes?</t>
  </si>
  <si>
    <t>Pinfall Seconds?</t>
  </si>
  <si>
    <t>Counts up to 60</t>
  </si>
  <si>
    <t>17598C</t>
  </si>
  <si>
    <t>Pinfall 1/30 seconds?</t>
  </si>
  <si>
    <t>Counts up to 30</t>
  </si>
  <si>
    <t>175A70</t>
  </si>
  <si>
    <t>Is this the base address for manager of opponent? Or base addy for opponent?</t>
  </si>
  <si>
    <t>175A74</t>
  </si>
  <si>
    <t>P1’s base address</t>
  </si>
  <si>
    <t>175A78</t>
  </si>
  <si>
    <t>175A7C</t>
  </si>
  <si>
    <t>Pinfall count against P1</t>
  </si>
  <si>
    <t>Dont think these are p1 specific!!</t>
  </si>
  <si>
    <t>175A80</t>
  </si>
  <si>
    <t>1/30 seconds of Pinfall Count against P1</t>
  </si>
  <si>
    <t>175A88</t>
  </si>
  <si>
    <t>P1 Pinfall on opponent?</t>
  </si>
  <si>
    <t>175A8C</t>
  </si>
  <si>
    <t>P1 1/30 seconds of Pinfall Count against opponent</t>
  </si>
  <si>
    <t>175AA8</t>
  </si>
  <si>
    <t>Pointer to player Base … legal man on your team?</t>
  </si>
  <si>
    <t>175AAC</t>
  </si>
  <si>
    <t>Triggers Interference!  Both</t>
  </si>
  <si>
    <t>00 normally – if quickly set second byte to 20 then back again, one person only</t>
  </si>
  <si>
    <t>Put 20 in first byte quickly for P4 inter only</t>
  </si>
  <si>
    <t>CHANGING THESE ACTUALLY CHANGES THE POSTMATCH TIME</t>
  </si>
  <si>
    <t>175AAE</t>
  </si>
  <si>
    <t>Clock Minutes</t>
  </si>
  <si>
    <t>Think these are actually all 32 bit addresses</t>
  </si>
  <si>
    <t>175AB2</t>
  </si>
  <si>
    <t>Clock Seconds</t>
  </si>
  <si>
    <t>175AB6</t>
  </si>
  <si>
    <t>175AB8</t>
  </si>
  <si>
    <t>Stores Offensive Balance parameter here</t>
  </si>
  <si>
    <t>175AC0</t>
  </si>
  <si>
    <t>Ground Strikes for P1 Listed Here</t>
  </si>
  <si>
    <t>175AC2</t>
  </si>
  <si>
    <t>Whether Ground Strike is a favourite or not (01)</t>
  </si>
  <si>
    <t>175AC3</t>
  </si>
  <si>
    <t>175B48</t>
  </si>
  <si>
    <t>Address used when AI about to perform a flying move</t>
  </si>
  <si>
    <t>175B52</t>
  </si>
  <si>
    <t>Loads Taunt Frequency parameter here- Loaded this byte when AI decided not to dive or follow out – TAUNT FREQ FOR ALL PLAYERS (CYCLES)</t>
  </si>
  <si>
    <t>flickers between 00 and 01 (and presumably 02 as well)</t>
  </si>
  <si>
    <t>175B58</t>
  </si>
  <si>
    <t>Bizarre – seems to make P1 constantly press A button</t>
  </si>
  <si>
    <t>175B5A</t>
  </si>
  <si>
    <t>Player 1 is controlled by controller …</t>
  </si>
  <si>
    <t>0000 is for Controller 1, 0001 for Controller 2 etc</t>
  </si>
  <si>
    <t>175B5C</t>
  </si>
  <si>
    <t>Bizarre – seems to make P2 constantly press A button</t>
  </si>
  <si>
    <t>175B5E</t>
  </si>
  <si>
    <t>Player 2 is controlled by controller …</t>
  </si>
  <si>
    <t>175B60</t>
  </si>
  <si>
    <t>Bizarre – seems to make P3 constantly press A button</t>
  </si>
  <si>
    <t>175B62</t>
  </si>
  <si>
    <t>Player 3 is controlled by controller …</t>
  </si>
  <si>
    <t>175B64</t>
  </si>
  <si>
    <t>175B66</t>
  </si>
  <si>
    <t>Player 4 is controlled by controller …</t>
  </si>
  <si>
    <t>175B68</t>
  </si>
  <si>
    <t>Saves Outside of Ring Logic here</t>
  </si>
  <si>
    <t>175B69</t>
  </si>
  <si>
    <t>Saves P1 Grapple Reaction parameter here</t>
  </si>
  <si>
    <t>17613A</t>
  </si>
  <si>
    <t>17613B</t>
  </si>
  <si>
    <t>17613C</t>
  </si>
  <si>
    <t>17613D</t>
  </si>
  <si>
    <t>17613E</t>
  </si>
  <si>
    <t>17613F</t>
  </si>
  <si>
    <t>1763FC</t>
  </si>
  <si>
    <t>Uses this post match message for attendance calculation</t>
  </si>
  <si>
    <t>1763FE</t>
  </si>
  <si>
    <t>Something to do with Post Match Message?</t>
  </si>
  <si>
    <t>07 is double count out, 05 is lonely ring out in absence of spectators 0A is Speed victory, 08 is one hit TKO, 5B is one more step, 60 is good match ending in countout victory (rainy day), 61 goth ring out ruling on verge of runAWAY, 62 WINS THE see saw game with one blow, 5A wins the historic fierce battle, 5F player wins in a ring out that ruins a good match,</t>
  </si>
  <si>
    <t>17641A</t>
  </si>
  <si>
    <t>Taikai Mode attandance (in 10’s)?  Slot 1</t>
  </si>
  <si>
    <t>This is probably the one that controls the message – moves location?</t>
  </si>
  <si>
    <t>C6BC is neighboring code?</t>
  </si>
  <si>
    <t>8EbC too</t>
  </si>
  <si>
    <t>8f7c</t>
  </si>
  <si>
    <t>17641C</t>
  </si>
  <si>
    <t>Taikai Mode Date (Slot 1)</t>
  </si>
  <si>
    <t>17641E</t>
  </si>
  <si>
    <t>Taikai Mode Time Slot 1</t>
  </si>
  <si>
    <t>00 to 08 is from midnight to 1am, etc</t>
  </si>
  <si>
    <t>17641F</t>
  </si>
  <si>
    <t>Taikai Mode arena (Slot 1?)</t>
  </si>
  <si>
    <t>00 for AKI Hall, 01 for Dome etc</t>
  </si>
  <si>
    <t>17643C</t>
  </si>
  <si>
    <t>Is this Slot 2 attendance???</t>
  </si>
  <si>
    <t>17645E</t>
  </si>
  <si>
    <r>
      <rPr>
        <sz val="11"/>
        <color rgb="FF000000"/>
        <rFont val="Calibri"/>
        <family val="2"/>
      </rPr>
      <t>Taikai Mode attandance (in 10’s)? Slot 2</t>
    </r>
    <r>
      <rPr>
        <b/>
        <sz val="11"/>
        <color rgb="FF000000"/>
        <rFont val="Arial"/>
        <family val="2"/>
      </rPr>
      <t xml:space="preserve"> (sometimes slot 3??)</t>
    </r>
  </si>
  <si>
    <t>Post Match Comments?</t>
  </si>
  <si>
    <t>12 is short double count out?  17 is overwhelming quick match victory</t>
  </si>
  <si>
    <t>1764B8</t>
  </si>
  <si>
    <t>Used in KRS mode … when deciding wrestler for slot – was 000053FE</t>
  </si>
  <si>
    <t>1764C3</t>
  </si>
  <si>
    <t>Taikai Mode attandance (in 10’s)? Slot 3</t>
  </si>
  <si>
    <t>1764EC</t>
  </si>
  <si>
    <t>Menu selections in taikai mode?</t>
  </si>
  <si>
    <t>17661E</t>
  </si>
  <si>
    <t>Sub-menu identifier … e.g., choose exhibition type, choose venue, choose player 1, choose P2, etc</t>
  </si>
  <si>
    <t>1768B5</t>
  </si>
  <si>
    <t>Arena Selection (in menu)</t>
  </si>
  <si>
    <t>0000 is Budoukan, 0001 is Tokyo Dome etc</t>
  </si>
  <si>
    <t>176B25</t>
  </si>
  <si>
    <t>00 is Single, 01 is Tag, 02 is 3 Way, 04 is Battle Royal, 05 is Elimination</t>
  </si>
  <si>
    <t>177AF8</t>
  </si>
  <si>
    <t>Base for Options Screen – also points to 8016E048</t>
  </si>
  <si>
    <t>177AFC</t>
  </si>
  <si>
    <t>Current selection on particular screen?  Value multiplied by 0x10 to get details</t>
  </si>
  <si>
    <t>177B0C</t>
  </si>
  <si>
    <t>Pointer to 2B2810 – location for Option Screen data</t>
  </si>
  <si>
    <t>178FC0</t>
  </si>
  <si>
    <t>Tag Booking Addy – used for those ranked 00 to 0F</t>
  </si>
  <si>
    <t>178FC4</t>
  </si>
  <si>
    <t>Tag Booking Addy – used for those ranked 0x10 or above</t>
  </si>
  <si>
    <t>179140</t>
  </si>
  <si>
    <t>Some blank RAM persistent</t>
  </si>
  <si>
    <t>195E40</t>
  </si>
  <si>
    <t>Start of P1 damage mods before they’re loaded to Damage mods section</t>
  </si>
  <si>
    <t>19ee260</t>
  </si>
  <si>
    <t>Start of P1 moveset – 16 bit addresses with gaps between them</t>
  </si>
  <si>
    <t>1B60E0</t>
  </si>
  <si>
    <t>Halfword here was used when loading big texture colours?</t>
  </si>
  <si>
    <t>1BF938</t>
  </si>
  <si>
    <t>Loaded each wrestlers weight parameter here before match (this was copied elsewhere later)</t>
  </si>
  <si>
    <t>24DE64</t>
  </si>
  <si>
    <t>Edit Mode -Spin and zoom wrestler floating point values</t>
  </si>
  <si>
    <t>24DE80</t>
  </si>
  <si>
    <t>Start of costume data in edit mode</t>
  </si>
  <si>
    <t>2B1E80</t>
  </si>
  <si>
    <t>Base addy for Toki 1s – 24 bytes each – file id x 24 plus this (1A90 is first anim)</t>
  </si>
  <si>
    <t>real start is 2D9C00</t>
  </si>
  <si>
    <t>2B2810</t>
  </si>
  <si>
    <t>Base addy for Option screen?</t>
  </si>
  <si>
    <t>0x88 between buttons?</t>
  </si>
  <si>
    <t>2B2850</t>
  </si>
  <si>
    <t>Options – Rule Type x coordinate</t>
  </si>
  <si>
    <t>2B2854</t>
  </si>
  <si>
    <t>Options – Rule Type y coordinate</t>
  </si>
  <si>
    <t>2B2858</t>
  </si>
  <si>
    <t>Graphical effect timer</t>
  </si>
  <si>
    <t>2B285A</t>
  </si>
  <si>
    <t>0x4A</t>
  </si>
  <si>
    <t>Number of selections in sub-menu – loads this from 16FCEE</t>
  </si>
  <si>
    <t>2B285B</t>
  </si>
  <si>
    <t>0x4B</t>
  </si>
  <si>
    <t>Another graphical effect timer</t>
  </si>
  <si>
    <t>2B285C</t>
  </si>
  <si>
    <t>Current Selection</t>
  </si>
  <si>
    <t>2B285D</t>
  </si>
  <si>
    <t>0x4D</t>
  </si>
  <si>
    <t>2B285E</t>
  </si>
  <si>
    <t>2B285F</t>
  </si>
  <si>
    <t>0x4F</t>
  </si>
  <si>
    <t>2B2860</t>
  </si>
  <si>
    <t>2B2862</t>
  </si>
  <si>
    <t>2B2864</t>
  </si>
  <si>
    <t>Timer in current selection</t>
  </si>
  <si>
    <t>2B2866</t>
  </si>
  <si>
    <t>Some sort of timer / effect (when pressed?) FF – visibility?  00 is invisible</t>
  </si>
  <si>
    <t>2B2867</t>
  </si>
  <si>
    <t>0x57</t>
  </si>
  <si>
    <t>Whether this option currently selected – 00 for yes, 80 for no</t>
  </si>
  <si>
    <t>2B2868</t>
  </si>
  <si>
    <t>Nothing? 0000</t>
  </si>
  <si>
    <t>2B286A</t>
  </si>
  <si>
    <t>Unknown – F4AA – loads this from 16FCF2</t>
  </si>
  <si>
    <t>2B286C</t>
  </si>
  <si>
    <t>04 when hovering over, 05 when in sub menu?</t>
  </si>
  <si>
    <t>2B286D</t>
  </si>
  <si>
    <t>0x5D</t>
  </si>
  <si>
    <t>Nothing? 00</t>
  </si>
  <si>
    <t>2B286E</t>
  </si>
  <si>
    <t>0000 when hovering above main option, changes to FFFE when in sub menu</t>
  </si>
  <si>
    <t>2B2870</t>
  </si>
  <si>
    <t>Badge / Logo / Icon (6200)</t>
  </si>
  <si>
    <t>2B287C</t>
  </si>
  <si>
    <t>Addy that signifies end of first Option in menu?</t>
  </si>
  <si>
    <t>2B2EB0</t>
  </si>
  <si>
    <t>Options – “Decision” x coordinate</t>
  </si>
  <si>
    <t>2B2EB4</t>
  </si>
  <si>
    <t>Options – “Decision” y coordinate</t>
  </si>
  <si>
    <t>2B2ED0</t>
  </si>
  <si>
    <t>Options “Decision” badge/texture</t>
  </si>
  <si>
    <t>2b2FE0</t>
  </si>
  <si>
    <t>Extra option if you add to the selection on Option Screen!</t>
  </si>
  <si>
    <t>2B3D2A</t>
  </si>
  <si>
    <t>Is this the pre-match P3 interfering wrestler (ie the wrestler who attacks P1)?</t>
  </si>
  <si>
    <t>2B4865</t>
  </si>
  <si>
    <t>CHANGE THIS TO SEE VALUES! See list</t>
  </si>
  <si>
    <t>18FD95 on English patch?</t>
  </si>
  <si>
    <t>2B56BA</t>
  </si>
  <si>
    <t>Original H weight Stored here?</t>
  </si>
  <si>
    <t>2D68EF</t>
  </si>
  <si>
    <t>2EC612</t>
  </si>
  <si>
    <t>Taikai Mode attandance (in 10’s)?</t>
  </si>
  <si>
    <t>2ED9A0</t>
  </si>
  <si>
    <t>Is this where it loads the current P1 anim frame into RAM?</t>
  </si>
  <si>
    <t>32BD10</t>
  </si>
  <si>
    <t>Start of Master move addresses – determines what move damage stats go with each move</t>
  </si>
  <si>
    <t>345B60</t>
  </si>
  <si>
    <t>Start of Toki 2s?</t>
  </si>
  <si>
    <t>4 bytes each</t>
  </si>
  <si>
    <t>363EF0</t>
  </si>
  <si>
    <t>Start of Toki 3s?</t>
  </si>
  <si>
    <t>37DD5A</t>
  </si>
  <si>
    <t>P1 Spirit Meter?</t>
  </si>
  <si>
    <t>00 for off, 80 for on</t>
  </si>
  <si>
    <t>37DE12</t>
  </si>
  <si>
    <t>P2 Spirit Meter?</t>
  </si>
  <si>
    <t>37E03A</t>
  </si>
  <si>
    <t>37E0F2</t>
  </si>
  <si>
    <t>37E31A 0080</t>
  </si>
  <si>
    <t>37E3D2 0080</t>
  </si>
  <si>
    <t>37E5FA 0080</t>
  </si>
  <si>
    <t>37E6B2 0080</t>
  </si>
  <si>
    <t>389C10</t>
  </si>
  <si>
    <t>Blank area for temp bit</t>
  </si>
  <si>
    <t>Not always!</t>
  </si>
  <si>
    <t>389C20</t>
  </si>
  <si>
    <t>Temp bit that I use for 2/3 Falls</t>
  </si>
  <si>
    <t>3FFF10</t>
  </si>
  <si>
    <t>Blank area for temp bit NO!</t>
  </si>
  <si>
    <t>16A5D0</t>
  </si>
  <si>
    <t>Table that contains background colours / patterns for each logo / object</t>
  </si>
  <si>
    <t>D5890 in ROM</t>
  </si>
  <si>
    <t xml:space="preserve">0x00-X position 0x02-Y position 0x04-Size 0x06-Up/down nav 0x08-left/right nav 0x0A-texture 0x0C-message displayed with Z 0x0E-stretch preset 0x10-highlight type 0x12- go to page 0x14-transparency (black bg or no bg for transparent items) </t>
  </si>
  <si>
    <t>Options Screen</t>
  </si>
  <si>
    <t>Packed Objects on Each Screen – 0x16 offset between menu options</t>
  </si>
  <si>
    <t>Loaded from PI DRAM ADD REG after intro – used to populate 2B2 area and also referenced for movements, etc</t>
  </si>
  <si>
    <t>16C81C</t>
  </si>
  <si>
    <r>
      <rPr>
        <sz val="11"/>
        <color rgb="FF000000"/>
        <rFont val="Calibri"/>
        <family val="2"/>
      </rPr>
      <t>X Coordinate for</t>
    </r>
    <r>
      <rPr>
        <b/>
        <sz val="11"/>
        <color rgb="FF000000"/>
        <rFont val="Arial"/>
        <family val="2"/>
      </rPr>
      <t xml:space="preserve"> Rules Button (00)</t>
    </r>
  </si>
  <si>
    <t>FFBE or -42d</t>
  </si>
  <si>
    <t>Rules button (Puroresu, MMA)</t>
  </si>
  <si>
    <t>16C81E</t>
  </si>
  <si>
    <t>/</t>
  </si>
  <si>
    <t>FFF9 or -7d</t>
  </si>
  <si>
    <t>Loads these co-ordinates when booting, not later</t>
  </si>
  <si>
    <t>16C820</t>
  </si>
  <si>
    <t>Scale?</t>
  </si>
  <si>
    <t>0400 is normal</t>
  </si>
  <si>
    <t>16C822</t>
  </si>
  <si>
    <t>What happens when you press D pad up</t>
  </si>
  <si>
    <t>Move to 0C (Set)</t>
  </si>
  <si>
    <t>16C823</t>
  </si>
  <si>
    <t>What happens when you press D pad down</t>
  </si>
  <si>
    <t>Move to 02 (Outside Count)</t>
  </si>
  <si>
    <t>16C824</t>
  </si>
  <si>
    <t>What happens when you press D pad left</t>
  </si>
  <si>
    <t>16C825</t>
  </si>
  <si>
    <t>What happens when you press D pad right</t>
  </si>
  <si>
    <t>Move to 01 (Time Limit)</t>
  </si>
  <si>
    <t>16C826</t>
  </si>
  <si>
    <t>16C828</t>
  </si>
  <si>
    <t>Loaded this byte when boots – saved into 2B2 range</t>
  </si>
  <si>
    <t>16C829</t>
  </si>
  <si>
    <t>16C82A</t>
  </si>
  <si>
    <t>Loaded this byte when boots – tripled, then multiplied by 4
– added to 8016C1A8 – get 8016C1FC – this addy saved to 2B2874
Also loaded when you select option and then back out of submenu</t>
  </si>
  <si>
    <t>07</t>
  </si>
  <si>
    <t>16C82B</t>
  </si>
  <si>
    <t>Did an ANDI with 000F – if no 1x, leaves menu open after backing out?</t>
  </si>
  <si>
    <t>12</t>
  </si>
  <si>
    <t>16C82C</t>
  </si>
  <si>
    <t>Constantly read in menu – FFFF</t>
  </si>
  <si>
    <t>16C82E</t>
  </si>
  <si>
    <t>When changed to 041D, acts like Confirm button</t>
  </si>
  <si>
    <t>041C</t>
  </si>
  <si>
    <t>16C830</t>
  </si>
  <si>
    <t>ANDI with 0200</t>
  </si>
  <si>
    <t>0800</t>
  </si>
  <si>
    <t>16C831</t>
  </si>
  <si>
    <t>Loaded this byte when boots – Shifted (4) then saved into various locations in 2B2 range</t>
  </si>
  <si>
    <t>16C832</t>
  </si>
  <si>
    <r>
      <rPr>
        <sz val="11"/>
        <color rgb="FF000000"/>
        <rFont val="Calibri"/>
        <family val="2"/>
      </rPr>
      <t xml:space="preserve">x Coordinate for </t>
    </r>
    <r>
      <rPr>
        <b/>
        <sz val="11"/>
        <color rgb="FF000000"/>
        <rFont val="Arial"/>
        <family val="2"/>
      </rPr>
      <t>Time Limit (01)</t>
    </r>
  </si>
  <si>
    <t>0042 (66d)</t>
  </si>
  <si>
    <t>0042 FFF90400 0C030002</t>
  </si>
  <si>
    <t>Y Coordinate</t>
  </si>
  <si>
    <t>FFFF0000 0712FFFF 041C0800</t>
  </si>
  <si>
    <t>Move to 03 (Fall)</t>
  </si>
  <si>
    <t>Move to 00 (Rules)</t>
  </si>
  <si>
    <t>Did an ANDI with 000F</t>
  </si>
  <si>
    <t>Action when you press A – opens submenu</t>
  </si>
  <si>
    <t>16C848</t>
  </si>
  <si>
    <r>
      <rPr>
        <sz val="11"/>
        <color rgb="FF000000"/>
        <rFont val="Calibri"/>
        <family val="2"/>
      </rPr>
      <t xml:space="preserve">x Coordinate for </t>
    </r>
    <r>
      <rPr>
        <b/>
        <sz val="11"/>
        <color rgb="FF000000"/>
        <rFont val="Arial"/>
        <family val="2"/>
      </rPr>
      <t>Outside Count (02)</t>
    </r>
  </si>
  <si>
    <t>0007 or 7d</t>
  </si>
  <si>
    <t>Move to 04 (Give Up)</t>
  </si>
  <si>
    <t>16C85E</t>
  </si>
  <si>
    <r>
      <rPr>
        <sz val="11"/>
        <color rgb="FF000000"/>
        <rFont val="Calibri"/>
        <family val="2"/>
      </rPr>
      <t xml:space="preserve">x Coordinate for </t>
    </r>
    <r>
      <rPr>
        <b/>
        <sz val="11"/>
        <color rgb="FF000000"/>
        <rFont val="Arial"/>
        <family val="2"/>
      </rPr>
      <t>Fall (03)</t>
    </r>
  </si>
  <si>
    <t>Move to 05 (TKO)</t>
  </si>
  <si>
    <t>16C874</t>
  </si>
  <si>
    <r>
      <rPr>
        <sz val="11"/>
        <color rgb="FF000000"/>
        <rFont val="Calibri"/>
        <family val="2"/>
      </rPr>
      <t xml:space="preserve">x Coordinate for </t>
    </r>
    <r>
      <rPr>
        <b/>
        <sz val="11"/>
        <color rgb="FF000000"/>
        <rFont val="Arial"/>
        <family val="2"/>
      </rPr>
      <t>Give Up (04)</t>
    </r>
  </si>
  <si>
    <t>FFBE0015 04000206</t>
  </si>
  <si>
    <t>0015 or 21d</t>
  </si>
  <si>
    <t>0305FFFF 00000712 FFFF041C 0800</t>
  </si>
  <si>
    <t>Move to 06 (Rope Break)</t>
  </si>
  <si>
    <t>16C88A</t>
  </si>
  <si>
    <r>
      <rPr>
        <sz val="11"/>
        <color rgb="FF000000"/>
        <rFont val="Calibri"/>
        <family val="2"/>
      </rPr>
      <t xml:space="preserve">x Coordinate for </t>
    </r>
    <r>
      <rPr>
        <b/>
        <sz val="11"/>
        <color rgb="FF000000"/>
        <rFont val="Arial"/>
        <family val="2"/>
      </rPr>
      <t>TKO (05)</t>
    </r>
  </si>
  <si>
    <t>0042 00150400 03070406 FFFF0000 0712FFFF</t>
  </si>
  <si>
    <t>041C0800</t>
  </si>
  <si>
    <t>Move to 07 (Seconds Kill)</t>
  </si>
  <si>
    <t>16C8A0</t>
  </si>
  <si>
    <r>
      <rPr>
        <sz val="11"/>
        <color rgb="FF000000"/>
        <rFont val="Calibri"/>
        <family val="2"/>
      </rPr>
      <t xml:space="preserve">x Coordinate for </t>
    </r>
    <r>
      <rPr>
        <b/>
        <sz val="11"/>
        <color rgb="FF000000"/>
        <rFont val="Arial"/>
        <family val="2"/>
      </rPr>
      <t>Rope Break (06)</t>
    </r>
  </si>
  <si>
    <t>FFBE0023 04000408 0507FFFF 00000712 FFFF041C 0800</t>
  </si>
  <si>
    <t>0023 or 35</t>
  </si>
  <si>
    <t>16C8B6</t>
  </si>
  <si>
    <r>
      <rPr>
        <sz val="11"/>
        <color rgb="FF000000"/>
        <rFont val="Calibri"/>
        <family val="2"/>
      </rPr>
      <t xml:space="preserve">x Coordinate for </t>
    </r>
    <r>
      <rPr>
        <b/>
        <sz val="11"/>
        <color rgb="FF000000"/>
        <rFont val="Arial"/>
        <family val="2"/>
      </rPr>
      <t>Seconds Kill (07)</t>
    </r>
  </si>
  <si>
    <t>0042 00230400</t>
  </si>
  <si>
    <t>05090608 FFFF0000 0712FFFF 041C0800</t>
  </si>
  <si>
    <t>16C8CC</t>
  </si>
  <si>
    <r>
      <rPr>
        <sz val="11"/>
        <color rgb="FF000000"/>
        <rFont val="Calibri"/>
        <family val="2"/>
      </rPr>
      <t xml:space="preserve">x Coordinate for </t>
    </r>
    <r>
      <rPr>
        <b/>
        <sz val="11"/>
        <color rgb="FF000000"/>
        <rFont val="Arial"/>
        <family val="2"/>
      </rPr>
      <t>Bloodshed (08)</t>
    </r>
  </si>
  <si>
    <t>FFBE0031 0400060A 0709FFFF 00000712</t>
  </si>
  <si>
    <t>0031 or 49d</t>
  </si>
  <si>
    <t>FFFF041C 0800</t>
  </si>
  <si>
    <t>16C8E2</t>
  </si>
  <si>
    <r>
      <rPr>
        <sz val="11"/>
        <color rgb="FF000000"/>
        <rFont val="Calibri"/>
        <family val="2"/>
      </rPr>
      <t xml:space="preserve">x Coordinate for </t>
    </r>
    <r>
      <rPr>
        <b/>
        <sz val="11"/>
        <color rgb="FF000000"/>
        <rFont val="Arial"/>
        <family val="2"/>
      </rPr>
      <t>Time Limit Decision (09)</t>
    </r>
  </si>
  <si>
    <t>0042 00310400 070B080A FFFF0000 0712FFFF 041C0800</t>
  </si>
  <si>
    <t>16C8F8</t>
  </si>
  <si>
    <r>
      <rPr>
        <sz val="11"/>
        <color rgb="FF000000"/>
        <rFont val="Calibri"/>
        <family val="2"/>
      </rPr>
      <t xml:space="preserve">x Coordinate for </t>
    </r>
    <r>
      <rPr>
        <b/>
        <sz val="11"/>
        <color rgb="FF000000"/>
        <rFont val="Arial"/>
        <family val="2"/>
      </rPr>
      <t>Interference (0A)</t>
    </r>
  </si>
  <si>
    <t>FFBE003F</t>
  </si>
  <si>
    <t>003F or 63d</t>
  </si>
  <si>
    <t>0400080D 090BFFFF 00000712 FFFF041C 0800</t>
  </si>
  <si>
    <t>16C90E</t>
  </si>
  <si>
    <r>
      <rPr>
        <sz val="11"/>
        <color rgb="FF000000"/>
        <rFont val="Calibri"/>
        <family val="2"/>
      </rPr>
      <t xml:space="preserve">x Coordinate for </t>
    </r>
    <r>
      <rPr>
        <b/>
        <sz val="11"/>
        <color rgb="FF000000"/>
        <rFont val="Arial"/>
        <family val="2"/>
      </rPr>
      <t>Count Out Title Change (0B)?</t>
    </r>
  </si>
  <si>
    <t>0042 003F0400 090D0A0D FFFF0000</t>
  </si>
  <si>
    <t>0712FFFF 041C0800</t>
  </si>
  <si>
    <t>16C924</t>
  </si>
  <si>
    <r>
      <rPr>
        <sz val="11"/>
        <color rgb="FF000000"/>
        <rFont val="Calibri"/>
        <family val="2"/>
      </rPr>
      <t xml:space="preserve">x Coordinate for </t>
    </r>
    <r>
      <rPr>
        <b/>
        <sz val="11"/>
        <color rgb="FF000000"/>
        <rFont val="Arial"/>
        <family val="2"/>
      </rPr>
      <t>Set / Confirm (0C)</t>
    </r>
  </si>
  <si>
    <t>FFBEFFE4 04000D00 0D000637 00000800 FFFF041D 0800</t>
  </si>
  <si>
    <t>FFE4 or -28d</t>
  </si>
  <si>
    <t>Move to 0D (Options)</t>
  </si>
  <si>
    <t>0637</t>
  </si>
  <si>
    <t>Action when you press A – 041D – no submenu, but confirms</t>
  </si>
  <si>
    <t>041D</t>
  </si>
  <si>
    <t>16C93A</t>
  </si>
  <si>
    <r>
      <rPr>
        <sz val="11"/>
        <color rgb="FF000000"/>
        <rFont val="Calibri"/>
        <family val="2"/>
      </rPr>
      <t>x Coordinate for Options</t>
    </r>
    <r>
      <rPr>
        <b/>
        <sz val="11"/>
        <color rgb="FF000000"/>
        <rFont val="Arial"/>
        <family val="2"/>
      </rPr>
      <t xml:space="preserve"> (0D)</t>
    </r>
  </si>
  <si>
    <t>FFBE</t>
  </si>
  <si>
    <t>0062 or 98</t>
  </si>
  <si>
    <t>00620400 0A0C0B0C 06390000 0800FFFF 041E0800</t>
  </si>
  <si>
    <t>Move to 0A (Interference)</t>
  </si>
  <si>
    <t>Move to 0B (Title Change Ringout)</t>
  </si>
  <si>
    <t>0639</t>
  </si>
  <si>
    <t>Action when you press A – 041E – load option screen</t>
  </si>
  <si>
    <t>041E</t>
  </si>
  <si>
    <t>16C950</t>
  </si>
  <si>
    <r>
      <rPr>
        <sz val="11"/>
        <color rgb="FF000000"/>
        <rFont val="Calibri"/>
        <family val="2"/>
      </rPr>
      <t xml:space="preserve">x Coordinate for </t>
    </r>
    <r>
      <rPr>
        <b/>
        <sz val="11"/>
        <color rgb="FF000000"/>
        <rFont val="Arial"/>
        <family val="2"/>
      </rPr>
      <t>Option (0E)</t>
    </r>
  </si>
  <si>
    <t>0000FFE0 04000801 00007800</t>
  </si>
  <si>
    <t>00002F00 FFFF044A 0800</t>
  </si>
  <si>
    <t>16C966</t>
  </si>
  <si>
    <r>
      <rPr>
        <sz val="11"/>
        <color rgb="FF000000"/>
        <rFont val="Calibri"/>
        <family val="2"/>
      </rPr>
      <t xml:space="preserve">x Coordinate for </t>
    </r>
    <r>
      <rPr>
        <b/>
        <sz val="11"/>
        <color rgb="FF000000"/>
        <rFont val="Arial"/>
        <family val="2"/>
      </rPr>
      <t>Option (0F)</t>
    </r>
  </si>
  <si>
    <t>Set button address (option C)</t>
  </si>
  <si>
    <t>Multiply by 22d  (offset 0x16 between options</t>
  </si>
  <si>
    <t>16CB20</t>
  </si>
  <si>
    <t>Main Menu Screen</t>
  </si>
  <si>
    <t>Pointer to Start Screen</t>
  </si>
  <si>
    <t>8016C4A8</t>
  </si>
  <si>
    <t>16DFC4</t>
  </si>
  <si>
    <t>Number of options on screen, background</t>
  </si>
  <si>
    <t>02, 00</t>
  </si>
  <si>
    <t>16DFC6</t>
  </si>
  <si>
    <t>16E048</t>
  </si>
  <si>
    <t>Pointer to Main Menu Screen</t>
  </si>
  <si>
    <t>8016C81C</t>
  </si>
  <si>
    <t>16E04C</t>
  </si>
  <si>
    <t>0E, 04</t>
  </si>
  <si>
    <t>16E04E</t>
  </si>
  <si>
    <t>16F984</t>
  </si>
  <si>
    <t>Table of font types and effects – starts with answers to Rules question</t>
  </si>
  <si>
    <t>I think this is the properties for the object … so if you bring that object into a menu anywhere, these are the properties it will have</t>
  </si>
  <si>
    <t>16FCEC</t>
  </si>
  <si>
    <t>Base for Rules (00) – I think this is answer graphic and font type and font effects – loads from separate list</t>
  </si>
  <si>
    <t>16FCEE</t>
  </si>
  <si>
    <t>Number of options in submenu (Rules)?</t>
  </si>
  <si>
    <t>16FCF0</t>
  </si>
  <si>
    <t>16FCF2</t>
  </si>
  <si>
    <t>Rules: F4AA – loads this into offset 0x5A of 2B2 values</t>
  </si>
  <si>
    <t>F4AA</t>
  </si>
  <si>
    <t>16FCF4</t>
  </si>
  <si>
    <t>Tile Background!  Right most byte also changes lefthand panel. Right most byte is eventually shifted to look up a value starting from 16A5D0 – 0034 (16A6EC)</t>
  </si>
  <si>
    <t>0647</t>
  </si>
  <si>
    <t>Start of 16 bit addresses for menu options when Puroresu Rules selected – “Rules”</t>
  </si>
  <si>
    <t>6201 62046206 62076208 6209620A 620C620E 62116210</t>
  </si>
  <si>
    <t>16FF82</t>
  </si>
  <si>
    <t>16FF84</t>
  </si>
  <si>
    <t>16FF86</t>
  </si>
  <si>
    <t>Fall</t>
  </si>
  <si>
    <t>16FF88</t>
  </si>
  <si>
    <t>16FF8A</t>
  </si>
  <si>
    <t>16FF8C</t>
  </si>
  <si>
    <t>16FF8E</t>
  </si>
  <si>
    <t>Seconds Kill</t>
  </si>
  <si>
    <t>620A</t>
  </si>
  <si>
    <t>16FF90</t>
  </si>
  <si>
    <t>Bloodshed</t>
  </si>
  <si>
    <t>620C</t>
  </si>
  <si>
    <t>16FF92</t>
  </si>
  <si>
    <t>620E</t>
  </si>
  <si>
    <t>16FF94</t>
  </si>
  <si>
    <t>16FF96</t>
  </si>
  <si>
    <t>Belt Changes Hands on Ringout (Hidden unless belt on the line)</t>
  </si>
  <si>
    <t>6201</t>
  </si>
  <si>
    <t>6212 – Appearance (Toujou) Time Lag!</t>
  </si>
  <si>
    <t>Base addy for Unpacked Objects</t>
  </si>
  <si>
    <t>2B28d8</t>
  </si>
  <si>
    <t>Options – Time Limit x coordinate (01)</t>
  </si>
  <si>
    <t>2B2960</t>
  </si>
  <si>
    <t>Options – Outside Count x coordinate (02)</t>
  </si>
  <si>
    <t>2B29E8</t>
  </si>
  <si>
    <t>03</t>
  </si>
  <si>
    <t>2B2A70</t>
  </si>
  <si>
    <t>2B2AF8</t>
  </si>
  <si>
    <t>05</t>
  </si>
  <si>
    <t>2B2B80</t>
  </si>
  <si>
    <t>06</t>
  </si>
  <si>
    <t>2B2C08</t>
  </si>
  <si>
    <t>2B2C90</t>
  </si>
  <si>
    <t>2B2D18</t>
  </si>
  <si>
    <t>2B2DA0</t>
  </si>
  <si>
    <t>2B2E28</t>
  </si>
  <si>
    <t>0B</t>
  </si>
  <si>
    <r>
      <rPr>
        <sz val="10"/>
        <color rgb="FF000000"/>
        <rFont val="Arial"/>
        <family val="2"/>
      </rPr>
      <t>Options – Decision – x coordinate (</t>
    </r>
    <r>
      <rPr>
        <sz val="11"/>
        <color rgb="FF000000"/>
        <rFont val="Arial"/>
        <family val="2"/>
      </rPr>
      <t>0C)</t>
    </r>
  </si>
  <si>
    <t>2B2F38</t>
  </si>
  <si>
    <t>0D</t>
  </si>
  <si>
    <t>2C48F0</t>
  </si>
  <si>
    <t>0000 - ? (MMA rules)</t>
  </si>
  <si>
    <t>0001 - Standing</t>
  </si>
  <si>
    <t>0002 - Goung around turnbuckle corner</t>
  </si>
  <si>
    <t>0003 - Running</t>
  </si>
  <si>
    <t>0004 - Bouncing off ropes</t>
  </si>
  <si>
    <t>0005 - Collide + Staredown</t>
  </si>
  <si>
    <t>0006 - Roll/Cartwheel</t>
  </si>
  <si>
    <t>0007 - Running attack</t>
  </si>
  <si>
    <t>0008 - *Running Attack w/2-handed weapon</t>
  </si>
  <si>
    <t>0009 - Dodge on apron</t>
  </si>
  <si>
    <t>000A - Climbing turnbuckle</t>
  </si>
  <si>
    <t>000B - Throwing opponent</t>
  </si>
  <si>
    <t>000C - *Martial Arts stance for a few seconds, then run towards your opponent (wtf)</t>
  </si>
  <si>
    <t>000D - Throwing opponent out of ring</t>
  </si>
  <si>
    <t>000E - *(hold body part?)</t>
  </si>
  <si>
    <t>000F - Throwing someone into ring</t>
  </si>
  <si>
    <t>0010 - *(hold body part?)</t>
  </si>
  <si>
    <t>0011 - In ring, delivering head smash to turnbuckle</t>
  </si>
  <si>
    <t>0012 - On apron, receiving head smash to turnbuckle</t>
  </si>
  <si>
    <t>0013 - On apron, delivering head smash to turnbuckle</t>
  </si>
  <si>
    <t>0014 - In ring, receiving head smash to turnbuckle</t>
  </si>
  <si>
    <t>0015 - Getting thrown into ring side</t>
  </si>
  <si>
    <t>0016 - Getting thrown into guardrail</t>
  </si>
  <si>
    <t>0017 - Getting thrown into ring post</t>
  </si>
  <si>
    <t>0018 - In turnbuckle</t>
  </si>
  <si>
    <t>0019 - * Turnbuckle corner throw reverse 1</t>
  </si>
  <si>
    <t>001A - * Turnbuckle corner throw reverse 2</t>
  </si>
  <si>
    <t>001B - Taunt</t>
  </si>
  <si>
    <t>001C - Turnbuckle taunt</t>
  </si>
  <si>
    <t>001D - Ducking Down/Leapfrog</t>
  </si>
  <si>
    <t>001E - *lol running (Running over/under a ducking/leapfrogging wrestler?)</t>
  </si>
  <si>
    <t>001F - Apron strike to inside</t>
  </si>
  <si>
    <t>0020 - Apron to outside stomp attack</t>
  </si>
  <si>
    <t>0021 - Apron to opponent on apron attack</t>
  </si>
  <si>
    <t>0022 - Weak Striking</t>
  </si>
  <si>
    <t>0023 - Strong Striking</t>
  </si>
  <si>
    <t>0024 - Running opponent attack</t>
  </si>
  <si>
    <t>0025 - Ducking attack</t>
  </si>
  <si>
    <t>0026 - *Overhead weapon weak attack to standing</t>
  </si>
  <si>
    <t>0027 - *Overhead two handed weapon strong attack to standing</t>
  </si>
  <si>
    <t>0028 - *Overhead two handed weapon attack to downed</t>
  </si>
  <si>
    <t>0029 - Standing break up submission/pin</t>
  </si>
  <si>
    <t>002A - Running break up submission/pin</t>
  </si>
  <si>
    <t>002B - Turnbuckle attack</t>
  </si>
  <si>
    <t>002C - Tree of Woe attack</t>
  </si>
  <si>
    <t>002D - Attacking opponent on apron from outside</t>
  </si>
  <si>
    <t>002E - *same as 2D?</t>
  </si>
  <si>
    <t>002F - Running attack opponent on apron from outside</t>
  </si>
  <si>
    <t>0030 - Knockdown (Get hit from outside ring while on apron)</t>
  </si>
  <si>
    <t>0031 - *TKO</t>
  </si>
  <si>
    <t>0032 - *BLEED</t>
  </si>
  <si>
    <t>0033 - Breaking up from grapple?</t>
  </si>
  <si>
    <t>Victory appeal?</t>
  </si>
  <si>
    <t>0034 - On ground</t>
  </si>
  <si>
    <t>0035 - *Coming back from dazed state</t>
  </si>
  <si>
    <t>reversal /catch chance is 70% in this state</t>
  </si>
  <si>
    <t>0036 - Hit (being hit by strong striking and not falling)</t>
  </si>
  <si>
    <t>0037 - In tree of woe</t>
  </si>
  <si>
    <t>0038 - Staggering back</t>
  </si>
  <si>
    <t>0039 - Flipping opponent on ground?</t>
  </si>
  <si>
    <t>003A - *[input lock] (being in a pin or submission -WldFb)</t>
  </si>
  <si>
    <t>003B - Picking opponent up</t>
  </si>
  <si>
    <t>003C - *[input lock]</t>
  </si>
  <si>
    <t>being picked up</t>
  </si>
  <si>
    <t>003D - *? (wrestler teleported towards opponent)</t>
  </si>
  <si>
    <t>003E - *(hold body part?)</t>
  </si>
  <si>
    <t>003F - Turning opponent around on turnbuckle</t>
  </si>
  <si>
    <t>0040 - *(hold body part?)</t>
  </si>
  <si>
    <t>0041 - Setting up for tree of woe</t>
  </si>
  <si>
    <t>0042 - *? goes to being in tree of woe</t>
  </si>
  <si>
    <t>0043 - *Pull opponent down from tree of woe</t>
  </si>
  <si>
    <t>0044 - *shoot stance for a second or so</t>
  </si>
  <si>
    <t>0045 - pin a</t>
  </si>
  <si>
    <t>0046 - *[input lock]</t>
  </si>
  <si>
    <t>0047 - pin b</t>
  </si>
  <si>
    <t>0048 - *Martial arts stance + [input lock]</t>
  </si>
  <si>
    <t>Being pinned – normal pin</t>
  </si>
  <si>
    <t>0049 - Ground hold/dragging opponent on ground</t>
  </si>
  <si>
    <t>004A - [input lock]</t>
  </si>
  <si>
    <t>Being dragged?</t>
  </si>
  <si>
    <t>004B - Looping animation?</t>
  </si>
  <si>
    <t>004C - *Tag match running stomp?</t>
  </si>
  <si>
    <t>In a submission move</t>
  </si>
  <si>
    <t>- Possibly in a submission?</t>
  </si>
  <si>
    <t>004D - *Armbar reversal?</t>
  </si>
  <si>
    <t>004E - Being pinned?</t>
  </si>
  <si>
    <t>Being pinned by a pinning move</t>
  </si>
  <si>
    <t>*whatever this does, it's instant rape of your spirit and it gives your opponent spirit really fast. (works with Kobashi, maybe others...)</t>
  </si>
  <si>
    <t>004F - Blocking</t>
  </si>
  <si>
    <t>0050 - * Blocking 2</t>
  </si>
  <si>
    <t>0051 - Getting Up</t>
  </si>
  <si>
    <t>0052 - Ducking</t>
  </si>
  <si>
    <t>52 is getting up?</t>
  </si>
  <si>
    <t>0053 - Grapple attempt</t>
  </si>
  <si>
    <t>0054 - In grapple</t>
  </si>
  <si>
    <t>0055 - Being grappled</t>
  </si>
  <si>
    <t>0056 - *Test of Strength (win?)</t>
  </si>
  <si>
    <t>0057 - *(chop)</t>
  </si>
  <si>
    <t>0058 - Doing a grapple move</t>
  </si>
  <si>
    <t>0059 - Taking a gapple move</t>
  </si>
  <si>
    <t>005A - In combo stance</t>
  </si>
  <si>
    <t>005B - Having combo done to you</t>
  </si>
  <si>
    <t>005C - Strong shoot grapple takedown</t>
  </si>
  <si>
    <t>005D - Being taken down by a strong shoot grapple</t>
  </si>
  <si>
    <t>005E - * move to reversal of move</t>
  </si>
  <si>
    <t>005F - [input lock]</t>
  </si>
  <si>
    <t>0060 - Mounted position</t>
  </si>
  <si>
    <t>0061 - Being mounted</t>
  </si>
  <si>
    <t>0062 - *Grapple move that involves movement?</t>
  </si>
  <si>
    <t>0063 - *Running corner to outside move</t>
  </si>
  <si>
    <t>0064 - Running opponent grapple</t>
  </si>
  <si>
    <t>0065 - *(chop)</t>
  </si>
  <si>
    <t>0066 - Grapple from combo</t>
  </si>
  <si>
    <t>0067 - Being grappled from combo</t>
  </si>
  <si>
    <t>0068 - Winning Test of Strength?</t>
  </si>
  <si>
    <t>0069 - ?? reversed?</t>
  </si>
  <si>
    <t>006A - Attacking down opponent</t>
  </si>
  <si>
    <t>006B - Running attack on down opponent</t>
  </si>
  <si>
    <t>006D - Counter strike</t>
  </si>
  <si>
    <t>006E - Getting a strike countered</t>
  </si>
  <si>
    <t>006F - [freeze game]</t>
  </si>
  <si>
    <t>0070 - [freeze game]</t>
  </si>
  <si>
    <t>0071 - *Rolling away (back strike reversal?)</t>
  </si>
  <si>
    <t>0072 - *Holding the opponent's leg</t>
  </si>
  <si>
    <t>0073 - *Leg being held by opponent</t>
  </si>
  <si>
    <t>0074 - L button backing up</t>
  </si>
  <si>
    <t>0075 - Breaking grapple attempt with L</t>
  </si>
  <si>
    <t>0076 - [input lock]</t>
  </si>
  <si>
    <t>0077 - From ring to apron, apron to outside</t>
  </si>
  <si>
    <t>0078 - From outside to apron, apron to ring</t>
  </si>
  <si>
    <t>0079 - Getting hit on apron, falling to outside</t>
  </si>
  <si>
    <t>007A - Running rope taunt/dives (baseball slides, etc.)</t>
  </si>
  <si>
    <t>007B - Rope plancha to outside</t>
  </si>
  <si>
    <t>007C - *(chop)</t>
  </si>
  <si>
    <t>Probably climb on to cage</t>
  </si>
  <si>
    <t>007D - *(chop)</t>
  </si>
  <si>
    <t>Probably climb off of cage</t>
  </si>
  <si>
    <t>NO – rope spash attack</t>
  </si>
  <si>
    <t>007E - Apron to outside A attack</t>
  </si>
  <si>
    <t>007F - Running apron attack</t>
  </si>
  <si>
    <t>0080 - Apron to ring jumping attack</t>
  </si>
  <si>
    <t>0081 - *Rope rebound attack?</t>
  </si>
  <si>
    <t>0082 - Flying move to standing opponent in ring</t>
  </si>
  <si>
    <t>0083 - Flying move to opponent outside</t>
  </si>
  <si>
    <t>0084 - Flying move to downed opponent in ring</t>
  </si>
  <si>
    <t>0085 - *?</t>
  </si>
  <si>
    <t>0086 - *? (on outside)</t>
  </si>
  <si>
    <t>0087 - *? force to apron from outside; force in ring from apron</t>
  </si>
  <si>
    <t>0088 - Holding opponent's arms back for double team action</t>
  </si>
  <si>
    <t>0089 - *Escaping from being held back by an opponent</t>
  </si>
  <si>
    <t>008A - Doomsday Device setup</t>
  </si>
  <si>
    <t>008B - *Get lifted up on Doomsday Device</t>
  </si>
  <si>
    <t>008C - *(chop)</t>
  </si>
  <si>
    <t>008D - *(chop)</t>
  </si>
  <si>
    <t>008E - *?? getting thrown</t>
  </si>
  <si>
    <t>008F - Pulling opponent from ring to outside</t>
  </si>
  <si>
    <t>0090 - Being tripped/pulled from ring/ramp</t>
  </si>
  <si>
    <t>0091 - Throwing opponent off of top rope</t>
  </si>
  <si>
    <t>0092 - *(chop)</t>
  </si>
  <si>
    <t>0093 - Going to grab a weapon</t>
  </si>
  <si>
    <t>0094 - Walking back to apron from outside</t>
  </si>
  <si>
    <t>Walking back to apron when your cut play time has expired</t>
  </si>
  <si>
    <t>0095 - Getting tagged in</t>
  </si>
  <si>
    <t>0096 - Tagging partner in</t>
  </si>
  <si>
    <t>0097 - Call for tag</t>
  </si>
  <si>
    <t>0098 - *go back to apron (tag)?</t>
  </si>
  <si>
    <t>0099 - Turning dazed standing opponent</t>
  </si>
  <si>
    <t>009A - *rotate?</t>
  </si>
  <si>
    <t>009B - *Roll out of ring (as if eliminated)</t>
  </si>
  <si>
    <t>009C - Running -&gt; C Up in order to stand on the apron (inside ring/onto ramp in Dome Road)</t>
  </si>
  <si>
    <t>009D - Running -&gt; C Up in order to stand on the apron (to ring)/Slide into ring</t>
  </si>
  <si>
    <t>009E - *Pulling someone's leg, getting them out of the ring</t>
  </si>
  <si>
    <t>009F - Being pulled down from apron</t>
  </si>
  <si>
    <t>00A0 - Running over downed opponent and turn around</t>
  </si>
  <si>
    <t>00A1 - Running over downed opponent and continue</t>
  </si>
  <si>
    <t>00A2 - Running Grapple move</t>
  </si>
  <si>
    <t>00A3 - Receiving running grapple move</t>
  </si>
  <si>
    <t>00A4 - *!(chop)</t>
  </si>
  <si>
    <t>00A5 - *(baseball slide)</t>
  </si>
  <si>
    <t>00A6 - *(walk cycle, input lock)</t>
  </si>
  <si>
    <t>00A7 - *Get next Royal Rumble entrant, lol</t>
  </si>
  <si>
    <t>Interference Entry</t>
  </si>
  <si>
    <t>00A8 - *go back to apron (tag)?</t>
  </si>
  <si>
    <t>Leave ring after interference?</t>
  </si>
  <si>
    <t>00A9 - *goes to running</t>
  </si>
  <si>
    <t>00AA - Ramp to Apron</t>
  </si>
  <si>
    <t>00AB - Apron to Ramp</t>
  </si>
  <si>
    <t>00AC - Stomping from ramp to outside ring</t>
  </si>
  <si>
    <t>00AD - Attacking person on apron from outside ring</t>
  </si>
  <si>
    <t>00AE - Jumping attack off of ramp</t>
  </si>
  <si>
    <t>00AF - *Teleports to rope-side, suplexes person in from apron</t>
  </si>
  <si>
    <t>00B0 - *</t>
  </si>
  <si>
    <t>00B1 - Flailing, trying not to fall off of ramp</t>
  </si>
  <si>
    <t>00B2 - * WHAT THE FUCK WAS THAT IT JUST DID/.1?!?</t>
  </si>
  <si>
    <t>00B3 - [freeze game]</t>
  </si>
  <si>
    <t>00B4 - [freeze game]</t>
  </si>
  <si>
    <t>00B5 - [freeze game]</t>
  </si>
  <si>
    <t>00B6 - [freeze game]</t>
  </si>
  <si>
    <t>00B7 -</t>
  </si>
  <si>
    <t>Climb over top of cage?</t>
  </si>
  <si>
    <t>00B8 -</t>
  </si>
  <si>
    <t>00B9 -</t>
  </si>
  <si>
    <t>00BA -</t>
  </si>
  <si>
    <t>00BB -</t>
  </si>
  <si>
    <t>00BC -</t>
  </si>
  <si>
    <t>00BD -</t>
  </si>
  <si>
    <t>00BE -</t>
  </si>
  <si>
    <t>00BF -</t>
  </si>
  <si>
    <t>00C0 -</t>
  </si>
  <si>
    <t>00C1 -</t>
  </si>
  <si>
    <t>00C2 -</t>
  </si>
  <si>
    <t>00C3 -</t>
  </si>
  <si>
    <t>00C4 -</t>
  </si>
  <si>
    <t>00C5 -</t>
  </si>
  <si>
    <t>00C6 -</t>
  </si>
  <si>
    <t>00C7 -</t>
  </si>
  <si>
    <t>00C8 -</t>
  </si>
  <si>
    <t>00C9 -</t>
  </si>
  <si>
    <t>00CA -</t>
  </si>
  <si>
    <t>00CB -</t>
  </si>
  <si>
    <t>00CC -</t>
  </si>
  <si>
    <t>00CD -</t>
  </si>
  <si>
    <t>00CE -</t>
  </si>
  <si>
    <t>00CF -</t>
  </si>
  <si>
    <t>00D0 -</t>
  </si>
  <si>
    <t>00D1 -</t>
  </si>
  <si>
    <t>00D2 -</t>
  </si>
  <si>
    <t>00D3 -</t>
  </si>
  <si>
    <t>00D4 -</t>
  </si>
  <si>
    <t>00D5 -</t>
  </si>
  <si>
    <t>00D6 -</t>
  </si>
  <si>
    <t>00D7 -</t>
  </si>
  <si>
    <t>00D8 -</t>
  </si>
  <si>
    <t>00D9 -</t>
  </si>
  <si>
    <t>00DA -</t>
  </si>
  <si>
    <t>00DB -</t>
  </si>
  <si>
    <t>00DC -</t>
  </si>
  <si>
    <t>00DD -</t>
  </si>
  <si>
    <t>00DE -</t>
  </si>
  <si>
    <t>00DF -</t>
  </si>
  <si>
    <t>00EA -</t>
  </si>
  <si>
    <t>00EB -</t>
  </si>
  <si>
    <t>00EC -</t>
  </si>
  <si>
    <t>00ED -</t>
  </si>
  <si>
    <t>00EE -</t>
  </si>
  <si>
    <t>00EF -</t>
  </si>
  <si>
    <t>00F0 -</t>
  </si>
  <si>
    <t>00F1 -</t>
  </si>
  <si>
    <t>00F2 -</t>
  </si>
  <si>
    <t>00F3 -</t>
  </si>
  <si>
    <t>00F4 -</t>
  </si>
  <si>
    <t>00F5 -</t>
  </si>
  <si>
    <t>00F6 -</t>
  </si>
  <si>
    <t>00F7 -</t>
  </si>
  <si>
    <t>00F8 -</t>
  </si>
  <si>
    <t>00F9 -</t>
  </si>
  <si>
    <t>00FA -</t>
  </si>
  <si>
    <t>00FB -</t>
  </si>
  <si>
    <t>00FC -</t>
  </si>
  <si>
    <t>00FD -</t>
  </si>
  <si>
    <t>00FE -</t>
  </si>
  <si>
    <t>00FF -</t>
  </si>
  <si>
    <t>0100 - [freeze game]</t>
  </si>
  <si>
    <t>Virtual Pro-Wrestling 2 sounds</t>
  </si>
  <si>
    <t>TOUKON ROAD 2 – BANK 02, INSTRUMENT 1</t>
  </si>
  <si>
    <t>(compiled by freem)</t>
  </si>
  <si>
    <t>------------------------------</t>
  </si>
  <si>
    <t>the info in this document is to be used with SubDrag and Ice Mario's</t>
  </si>
  <si>
    <t>N64 Sound Tool, which expects a Z64 format VPW2 rom.</t>
  </si>
  <si>
    <t>[Bank 00] Musical Sounds?</t>
  </si>
  <si>
    <t>0021 - crowd (11025)</t>
  </si>
  <si>
    <t>0022 - crowd loop (11025)</t>
  </si>
  <si>
    <t>0025 - bass rumble (22050)</t>
  </si>
  <si>
    <t>0029 - Flute thing (22050)</t>
  </si>
  <si>
    <t>002A - Explosion (22050)</t>
  </si>
  <si>
    <t>002B - Wolf howl (22050)</t>
  </si>
  <si>
    <t>[Bank 01] Sounds (various, but 11025 is a good guess for a lot of them)</t>
  </si>
  <si>
    <t>0000 - Ring Bell (11025)</t>
  </si>
  <si>
    <t>0001 - end of match ring bell (11025)</t>
  </si>
  <si>
    <t xml:space="preserve">0002 - </t>
  </si>
  <si>
    <t xml:space="preserve">0003 - </t>
  </si>
  <si>
    <t xml:space="preserve">0004 - </t>
  </si>
  <si>
    <t xml:space="preserve">0005 - </t>
  </si>
  <si>
    <t xml:space="preserve">0006 - </t>
  </si>
  <si>
    <t xml:space="preserve">0007 - </t>
  </si>
  <si>
    <t xml:space="preserve">0008 - </t>
  </si>
  <si>
    <t xml:space="preserve">0009 - </t>
  </si>
  <si>
    <t>000A - squeaking</t>
  </si>
  <si>
    <t xml:space="preserve">000B - </t>
  </si>
  <si>
    <t xml:space="preserve">000C - </t>
  </si>
  <si>
    <t xml:space="preserve">000D - </t>
  </si>
  <si>
    <t xml:space="preserve">000E - </t>
  </si>
  <si>
    <t xml:space="preserve">000F - </t>
  </si>
  <si>
    <t xml:space="preserve">0010 - </t>
  </si>
  <si>
    <t xml:space="preserve">0011 - </t>
  </si>
  <si>
    <t xml:space="preserve">0012 - </t>
  </si>
  <si>
    <t xml:space="preserve">0013 - </t>
  </si>
  <si>
    <t xml:space="preserve">0014 - </t>
  </si>
  <si>
    <t xml:space="preserve">0015 - </t>
  </si>
  <si>
    <t xml:space="preserve">0016 - </t>
  </si>
  <si>
    <t xml:space="preserve">0017 - </t>
  </si>
  <si>
    <t xml:space="preserve">0018 - </t>
  </si>
  <si>
    <t xml:space="preserve">0019 - </t>
  </si>
  <si>
    <t xml:space="preserve">001A - </t>
  </si>
  <si>
    <t xml:space="preserve">001B - </t>
  </si>
  <si>
    <t xml:space="preserve">001C - </t>
  </si>
  <si>
    <t xml:space="preserve">001D - </t>
  </si>
  <si>
    <t>001E - bone snap (11025)</t>
  </si>
  <si>
    <t>001F - DONG. (11025)</t>
  </si>
  <si>
    <t xml:space="preserve">0020 - </t>
  </si>
  <si>
    <t xml:space="preserve">0021 - </t>
  </si>
  <si>
    <t xml:space="preserve">0022 - </t>
  </si>
  <si>
    <t xml:space="preserve">0023 - </t>
  </si>
  <si>
    <t xml:space="preserve">0024 - </t>
  </si>
  <si>
    <t xml:space="preserve">0025 - </t>
  </si>
  <si>
    <t xml:space="preserve">0026 - </t>
  </si>
  <si>
    <t xml:space="preserve">0027 - </t>
  </si>
  <si>
    <t xml:space="preserve">0028 - </t>
  </si>
  <si>
    <t xml:space="preserve">0029 - </t>
  </si>
  <si>
    <t>002A - screaming [crowd] (11025)</t>
  </si>
  <si>
    <t>002B - BOOOO [crowd] (11025)</t>
  </si>
  <si>
    <t>002C - looping crowd noise (11025)</t>
  </si>
  <si>
    <t>002D - one [crowd] (11025)</t>
  </si>
  <si>
    <t>002E - two [crowd] (11025)</t>
  </si>
  <si>
    <t>002F - three [crowd] (11025)</t>
  </si>
  <si>
    <t xml:space="preserve">0030 - </t>
  </si>
  <si>
    <t xml:space="preserve">0031 - </t>
  </si>
  <si>
    <t>0032 - groaning in submission (22050)</t>
  </si>
  <si>
    <t xml:space="preserve">0033 - </t>
  </si>
  <si>
    <t xml:space="preserve">0034 - </t>
  </si>
  <si>
    <t xml:space="preserve">0035 - </t>
  </si>
  <si>
    <t xml:space="preserve">0036 - </t>
  </si>
  <si>
    <t>0037 - thunder rumble (unsure which sampling rate)</t>
  </si>
  <si>
    <t xml:space="preserve">0038 - </t>
  </si>
  <si>
    <t>0039 - swoosh sound from menus (11025)</t>
  </si>
  <si>
    <t>003A - gunshot/explosion (22050)</t>
  </si>
  <si>
    <t>003B - swoosh sound 2 from menus (22050)</t>
  </si>
  <si>
    <t>003C - three count fall (33075)</t>
  </si>
  <si>
    <t>003D - give up (33075)</t>
  </si>
  <si>
    <t>003E - time up (33075)</t>
  </si>
  <si>
    <t>003F - draw game (33075)</t>
  </si>
  <si>
    <t>0040 - ring out (33075)</t>
  </si>
  <si>
    <t>0041 - double ring out (33075)</t>
  </si>
  <si>
    <t>0042 - knockout (33075)</t>
  </si>
  <si>
    <t>0043 - loser (33075)</t>
  </si>
  <si>
    <t>0044 - one [outside count] (11025)</t>
  </si>
  <si>
    <t>0045 - two [outside count] (11025)</t>
  </si>
  <si>
    <t>0046 - three [outside count] (11025)</t>
  </si>
  <si>
    <t>0047 - four [outside count] (11025)</t>
  </si>
  <si>
    <t>0048 - five [outside count] (11025)</t>
  </si>
  <si>
    <t>0049 - six [outside count] (11025)</t>
  </si>
  <si>
    <t>004A - seven [outside count] (11025)</t>
  </si>
  <si>
    <t>004B - eight [outside count] (11025)</t>
  </si>
  <si>
    <t>004C - nine [outside count] (11025)</t>
  </si>
  <si>
    <t>004D - ten [outside count] (11025)</t>
  </si>
  <si>
    <t>004E - eleven [outside count] (11025)</t>
  </si>
  <si>
    <t>004F - twelve [outside count] (11025)</t>
  </si>
  <si>
    <t>0050 - thirteen [outside count] (11025)</t>
  </si>
  <si>
    <t>0051 - fourteen [outside count] (11025)</t>
  </si>
  <si>
    <t>0052 - fifteen [outside count] (11025)</t>
  </si>
  <si>
    <t>0053 - sixteen [outside count] (11025)</t>
  </si>
  <si>
    <t>0054 - seventeen [outside count] (11025)</t>
  </si>
  <si>
    <t>0055 - eighteen [outside count] (11025)</t>
  </si>
  <si>
    <t>0056 - Ninteen [outside count] (11025)</t>
  </si>
  <si>
    <t>0057 - Twenty [outside count] (11025)</t>
  </si>
  <si>
    <t>0058 - fight! (11025)</t>
  </si>
  <si>
    <t>0059 - break! (11025)</t>
  </si>
  <si>
    <t>005A - one [pin] (11025)</t>
  </si>
  <si>
    <t>005B - two [pin] (11025)</t>
  </si>
  <si>
    <t>005C - three [pin] (11025)</t>
  </si>
  <si>
    <t xml:space="preserve">005D - </t>
  </si>
  <si>
    <t>005E - firework (22050)</t>
  </si>
  <si>
    <t>005F - fireworks (22050)</t>
  </si>
  <si>
    <t>0060 - fireworks (22050)</t>
  </si>
  <si>
    <t xml:space="preserve">0061 - </t>
  </si>
  <si>
    <t xml:space="preserve">0062 - </t>
  </si>
  <si>
    <t xml:space="preserve">0063 - </t>
  </si>
  <si>
    <t xml:space="preserve">0064 - </t>
  </si>
  <si>
    <t>0065 - lightning? (unsure which sampling rate; is this from revenge?)</t>
  </si>
  <si>
    <t xml:space="preserve">0066 - </t>
  </si>
  <si>
    <t xml:space="preserve">0067 - </t>
  </si>
  <si>
    <t xml:space="preserve">0068 - </t>
  </si>
  <si>
    <t xml:space="preserve">0069 - </t>
  </si>
  <si>
    <t>006A - count two! (11025)</t>
  </si>
  <si>
    <t>006B - escape! (11025)</t>
  </si>
  <si>
    <t xml:space="preserve">006C - </t>
  </si>
  <si>
    <t>006D - stop! (unsure which sampling rate)</t>
  </si>
  <si>
    <t xml:space="preserve">006E - </t>
  </si>
  <si>
    <t xml:space="preserve">006F - </t>
  </si>
  <si>
    <t xml:space="preserve">0070 - </t>
  </si>
  <si>
    <t xml:space="preserve">0071 - </t>
  </si>
  <si>
    <t xml:space="preserve">0072 - </t>
  </si>
  <si>
    <t xml:space="preserve">0073 - </t>
  </si>
  <si>
    <t xml:space="preserve">0074 - </t>
  </si>
  <si>
    <t xml:space="preserve">0075 - </t>
  </si>
  <si>
    <t>0076 - Explosion (22050)</t>
  </si>
  <si>
    <t>[Bank 02] Streamed Audio/Wrestler Themes (22050)</t>
  </si>
  <si>
    <t>0000 - Giant Baba</t>
  </si>
  <si>
    <t>0001 - Misawa</t>
  </si>
  <si>
    <t>145AFC</t>
  </si>
  <si>
    <t>0002 - Yoshinari Ogawa</t>
  </si>
  <si>
    <t>0003 - Kenta Kobashi</t>
  </si>
  <si>
    <t>0004 - Jun Akiyama</t>
  </si>
  <si>
    <t>0005 - Kawada</t>
  </si>
  <si>
    <t>0006 - Akira Taue</t>
  </si>
  <si>
    <t>0007 - Stan Hansen</t>
  </si>
  <si>
    <t>0008 - NTV Sports theme</t>
  </si>
  <si>
    <t>0009 - STRIKER (All Japan Triple Crown theme)</t>
  </si>
  <si>
    <t>[Bank 03] Announcer Voices 1 (7000?)</t>
  </si>
  <si>
    <t xml:space="preserve">0000 - </t>
  </si>
  <si>
    <t xml:space="preserve">0001 - </t>
  </si>
  <si>
    <t xml:space="preserve">000A - </t>
  </si>
  <si>
    <t>0013 - main evento</t>
  </si>
  <si>
    <t xml:space="preserve">001E - </t>
  </si>
  <si>
    <t xml:space="preserve">001F - </t>
  </si>
  <si>
    <t xml:space="preserve">002A - </t>
  </si>
  <si>
    <t xml:space="preserve">002B - </t>
  </si>
  <si>
    <t xml:space="preserve">002C - </t>
  </si>
  <si>
    <t xml:space="preserve">002D - </t>
  </si>
  <si>
    <t xml:space="preserve">002E - </t>
  </si>
  <si>
    <t xml:space="preserve">002F - </t>
  </si>
  <si>
    <t xml:space="preserve">0032 - </t>
  </si>
  <si>
    <t>0033 - giant baba</t>
  </si>
  <si>
    <t>0034 - misawa mitsuharu</t>
  </si>
  <si>
    <t>0035 - kawada toshiaki</t>
  </si>
  <si>
    <t xml:space="preserve">0037 - </t>
  </si>
  <si>
    <t xml:space="preserve">0039 - </t>
  </si>
  <si>
    <t xml:space="preserve">003A - </t>
  </si>
  <si>
    <t xml:space="preserve">003B - </t>
  </si>
  <si>
    <t xml:space="preserve">003C - </t>
  </si>
  <si>
    <t xml:space="preserve">003D - </t>
  </si>
  <si>
    <t>003E - inoue masao</t>
  </si>
  <si>
    <t xml:space="preserve">003F - </t>
  </si>
  <si>
    <t xml:space="preserve">0040 - </t>
  </si>
  <si>
    <t xml:space="preserve">0041 - </t>
  </si>
  <si>
    <t xml:space="preserve">0042 - </t>
  </si>
  <si>
    <t xml:space="preserve">0043 - </t>
  </si>
  <si>
    <t xml:space="preserve">0044 - </t>
  </si>
  <si>
    <t xml:space="preserve">0045 - </t>
  </si>
  <si>
    <t xml:space="preserve">0046 - </t>
  </si>
  <si>
    <t xml:space="preserve">0047 - </t>
  </si>
  <si>
    <t xml:space="preserve">0048 - </t>
  </si>
  <si>
    <t xml:space="preserve">0049 - </t>
  </si>
  <si>
    <t xml:space="preserve">004A - </t>
  </si>
  <si>
    <t xml:space="preserve">004B - </t>
  </si>
  <si>
    <t xml:space="preserve">004C - </t>
  </si>
  <si>
    <t xml:space="preserve">004D - </t>
  </si>
  <si>
    <t>004E - johnny ace</t>
  </si>
  <si>
    <t>004F - michael barton</t>
  </si>
  <si>
    <t>0050 - bart gunn</t>
  </si>
  <si>
    <t>0051 - gary albright</t>
  </si>
  <si>
    <t>0052 - giant kimala</t>
  </si>
  <si>
    <t>0053 - johnny smith</t>
  </si>
  <si>
    <t>0054 - maunakea mossman</t>
  </si>
  <si>
    <t>0055 - the gladiator</t>
  </si>
  <si>
    <t>0056 - 1p wrestler</t>
  </si>
  <si>
    <t>0057 - 2p wrestler</t>
  </si>
  <si>
    <t>0058 - 3p wrestler</t>
  </si>
  <si>
    <t>0059 - 4p wrestler</t>
  </si>
  <si>
    <t xml:space="preserve">005A - </t>
  </si>
  <si>
    <t xml:space="preserve">005B - </t>
  </si>
  <si>
    <t>[Bank 04] Announcer Voices 2 (7000?)</t>
  </si>
  <si>
    <t>0000 - heavy thing</t>
  </si>
  <si>
    <t>0001 - junior heavy thing</t>
  </si>
  <si>
    <t>0003 - asia tag thing</t>
  </si>
  <si>
    <t>0004 - single match</t>
  </si>
  <si>
    <t>0005 - tag match</t>
  </si>
  <si>
    <t>0006 - battle royal</t>
  </si>
  <si>
    <t>0007 - handicap match (unused)</t>
  </si>
  <si>
    <t>0008 - triple threat match</t>
  </si>
  <si>
    <t>0018 - 1st round</t>
  </si>
  <si>
    <t>0019 - 2nd round</t>
  </si>
  <si>
    <t>001A - 3rd round</t>
  </si>
  <si>
    <t>001B - 4th round</t>
  </si>
  <si>
    <t>001C - 5th round</t>
  </si>
  <si>
    <t>0021 - aka corner</t>
  </si>
  <si>
    <t>0022 - aoi corner</t>
  </si>
  <si>
    <t>0023 - 1st corner</t>
  </si>
  <si>
    <t>0024 - 2nd corner</t>
  </si>
  <si>
    <t>0025 - 3rd corner</t>
  </si>
  <si>
    <t>0026 - 4th corner</t>
  </si>
  <si>
    <t>002D - Giant Baba (intro)</t>
  </si>
  <si>
    <t>002E - Misawa Mitsuharu (intro)</t>
  </si>
  <si>
    <t>002F - Kawada Toshiaki (intro)</t>
  </si>
  <si>
    <t>0030 - Taue Akira (intro)</t>
  </si>
  <si>
    <t>0031 - Kobashi Kenta (intro)</t>
  </si>
  <si>
    <t>0032 - Akiyama Jun (intro)</t>
  </si>
  <si>
    <t>0033 - Hase Hiroshi (intro)</t>
  </si>
  <si>
    <t>0034 - Omori Takao (intro)</t>
  </si>
  <si>
    <t>0035 - Takayama Yoshihiro (intro)</t>
  </si>
  <si>
    <t>0036 - Honda Tamon (intro)</t>
  </si>
  <si>
    <t>0037 - Izumida Jun (intro)</t>
  </si>
  <si>
    <t>0038 - Inoue Masao (intro)</t>
  </si>
  <si>
    <t>0039 - Ogawa Yoshinari (intro)</t>
  </si>
  <si>
    <t>003A - Asako Satoru (intro)</t>
  </si>
  <si>
    <t>003B - Shiga Kentaro (intro)</t>
  </si>
  <si>
    <t>003C - Kakihara Masahito (intro)</t>
  </si>
  <si>
    <t>003D - ? Yoshinobu (intro)</t>
  </si>
  <si>
    <t>003E - Marufuji Naomichi (intro)</t>
  </si>
  <si>
    <t>003F - Eigen Haruka (intro)</t>
  </si>
  <si>
    <t>0040 - Rusher Kimura (intro)</t>
  </si>
  <si>
    <t>0041 - Momota Mitsuo (intro)</t>
  </si>
  <si>
    <t>0042 - Fuji Masanobu (intro)</t>
  </si>
  <si>
    <t>0043 - Kikuchi Tsuyoshi? (intro)</t>
  </si>
  <si>
    <t>0044 - Hashi Mokoto? (intro)</t>
  </si>
  <si>
    <t>0045 - Morishima Takeshi (intro)</t>
  </si>
  <si>
    <t>0046 - VADER (intro)</t>
  </si>
  <si>
    <t>0047 - Stan Hansen (intro)</t>
  </si>
  <si>
    <t>0048 - Johnny Ace (intro)</t>
  </si>
  <si>
    <t>0049 - Michael Barton (intro)</t>
  </si>
  <si>
    <t>004A - Bart Gunn (intro; unused)</t>
  </si>
  <si>
    <t>004B - Gary Albright (intro)</t>
  </si>
  <si>
    <t>004C - Giant Kimala (intro)</t>
  </si>
  <si>
    <t>004D - Johnny Smith (intro)</t>
  </si>
  <si>
    <t>004E - Maunakea Mossman (intro)</t>
  </si>
  <si>
    <t>004F - The Gladiator (intro; unused)</t>
  </si>
  <si>
    <t>0050 - 1P, RESUUUUURAAAAA (intros)</t>
  </si>
  <si>
    <t>0051 - 2P, RESUUUUURAAAAA (intros)</t>
  </si>
  <si>
    <t>0052 - 3P, RESUUUUURAAAAA (intros)</t>
  </si>
  <si>
    <t>0053 - 4P, RESUUUUURAAAAA (intros)</t>
  </si>
  <si>
    <t>0054 - Referee Wada Kyohei</t>
  </si>
  <si>
    <t>0055 - Referee Joe Higuchi</t>
  </si>
  <si>
    <t xml:space="preserve">0056 - Referee </t>
  </si>
  <si>
    <t>[Bank 05] Announcer Voices 3 (7000?)</t>
  </si>
  <si>
    <t>001F - louder version of 001E</t>
  </si>
  <si>
    <t>0020 - 1p wrestler, haijo de goizmasu or whatever</t>
  </si>
  <si>
    <t>0021 - 2p wrestler, ""</t>
  </si>
  <si>
    <t>0022 - 3p wrestler, ""</t>
  </si>
  <si>
    <t>0023 - 4p wrestler, ""</t>
  </si>
  <si>
    <t>[Bank 06] Wrestler Voices A (11025)</t>
  </si>
  <si>
    <t>0004 - Axe Bomber</t>
  </si>
  <si>
    <t>0008 - Kimala!</t>
  </si>
  <si>
    <t>0012 - Ichiban!</t>
  </si>
  <si>
    <t>001E \ those sounds john uses all the time</t>
  </si>
  <si>
    <t>001F /</t>
  </si>
  <si>
    <t>0035 - HO!</t>
  </si>
  <si>
    <t>003D - HEAH! (the one Jericho has in Revenge)</t>
  </si>
  <si>
    <t>[Bank 07] Wrestler Voices B (11025)</t>
  </si>
  <si>
    <t>0001 - No Fear 1</t>
  </si>
  <si>
    <t>0002 - No Fear 2</t>
  </si>
  <si>
    <t>0005 - JUNGLE BEANS! (yes it's really ganbatte, but what is a freem doc without inside jokes?)</t>
  </si>
  <si>
    <t>0006 - Bruiser Brody going OOH. OOH.</t>
  </si>
  <si>
    <t>000F - owari</t>
  </si>
  <si>
    <t>0011 - arigatou!!!</t>
  </si>
  <si>
    <t>0016 - ichiban!</t>
  </si>
  <si>
    <t>0024 \ those sounds john uses all the time</t>
  </si>
  <si>
    <t>0025 /</t>
  </si>
  <si>
    <t>002A - COME ON(? kinda sounds like it)</t>
  </si>
  <si>
    <t>0030 - HO!</t>
  </si>
  <si>
    <t>0033 - ora ora ora!</t>
  </si>
  <si>
    <t>0038 - stan hansen</t>
  </si>
  <si>
    <t>003A - HEAH! (the one Jericho has in Revenge)</t>
  </si>
  <si>
    <t>003C - NO!</t>
  </si>
  <si>
    <t>003D - dog barking?</t>
  </si>
  <si>
    <t>0002 - Exhibition</t>
  </si>
  <si>
    <t>0012 - Exhibition Single Match</t>
  </si>
  <si>
    <t>0022 - Exhibition Tag Match</t>
  </si>
  <si>
    <t>0082 - Exhibition 3 Way Match</t>
  </si>
  <si>
    <t>0042 - Exhibition Battle Royal</t>
  </si>
  <si>
    <t>0143 - Exhibition Battle Royal - Team Battle</t>
  </si>
  <si>
    <t>0243 - Exhibition Battle Royal - Random</t>
  </si>
  <si>
    <t>0016 - Exhibition Elimination Match</t>
  </si>
  <si>
    <t>0004 - League</t>
  </si>
  <si>
    <t>0014 - League Single Match</t>
  </si>
  <si>
    <t>0024 - League Tag Match</t>
  </si>
  <si>
    <t>000B - Pay Per View</t>
  </si>
  <si>
    <t>000A - Edit</t>
  </si>
  <si>
    <t>0001 - Royal Road Succession</t>
  </si>
  <si>
    <t>0005 - Tournament</t>
  </si>
  <si>
    <t>0015 - Tournament Single Match</t>
  </si>
  <si>
    <t>0025 - Tournament Tag Match</t>
  </si>
  <si>
    <t>0007 - Ranking</t>
  </si>
  <si>
    <t>0017 - Ranking Single Match</t>
  </si>
  <si>
    <t>0027 - Ranking Tag Match</t>
  </si>
  <si>
    <t>0009 - Options</t>
  </si>
  <si>
    <t>2xxx – ANDI – in KRS mode, when checking skill levels</t>
  </si>
  <si>
    <t>0001 - Mitsuharu Misawa</t>
  </si>
  <si>
    <t>0003 - Toshiaki Kawada</t>
  </si>
  <si>
    <t>0004 - Akira Taue</t>
  </si>
  <si>
    <t>0005 - Kenta Kobashi</t>
  </si>
  <si>
    <t>0006 - Jun Akiyama</t>
  </si>
  <si>
    <t>0007 - Hiroshi Hase</t>
  </si>
  <si>
    <t>0008 - Maunakea Mossman</t>
  </si>
  <si>
    <t>0009 - Yoshihiro Takayama</t>
  </si>
  <si>
    <t>000A - Masahito Kakihara</t>
  </si>
  <si>
    <t>000B - Giant Baba</t>
  </si>
  <si>
    <t>000C - Jumbo Tsuruta</t>
  </si>
  <si>
    <t>000D - Dory Funk Jr.</t>
  </si>
  <si>
    <t>0101 - Stan Hansen</t>
  </si>
  <si>
    <t>000E - Stan Hansen</t>
  </si>
  <si>
    <t>0102 - Vader</t>
  </si>
  <si>
    <t>000F - Vader</t>
  </si>
  <si>
    <t>0103 - Johnny Ace</t>
  </si>
  <si>
    <t>0010 - Johnny Ace</t>
  </si>
  <si>
    <t>0104 - Mike Barton</t>
  </si>
  <si>
    <t>0011 - Mike Barton</t>
  </si>
  <si>
    <t>0105 - Giant Kimala</t>
  </si>
  <si>
    <t>0012 - Giant Kimala</t>
  </si>
  <si>
    <t>0106 - Jun Izumida</t>
  </si>
  <si>
    <t>0013 - Jun Izumida</t>
  </si>
  <si>
    <t>0107 - Gary Albright</t>
  </si>
  <si>
    <t>0014 - Gary Albright</t>
  </si>
  <si>
    <t>0108 - Johnny Smith</t>
  </si>
  <si>
    <t>0015 - Johnny Smith</t>
  </si>
  <si>
    <t>0109 - Bruiser Brody</t>
  </si>
  <si>
    <t>0016 - Bruiser Brody</t>
  </si>
  <si>
    <t>010A - Terry Gordy</t>
  </si>
  <si>
    <t>0017 - Terry Gordy</t>
  </si>
  <si>
    <t>010B - Dr. Death</t>
  </si>
  <si>
    <t>0018 - Dr. Death</t>
  </si>
  <si>
    <t>010C - Takao Ohmori</t>
  </si>
  <si>
    <t>0019 - Takao Ohmori</t>
  </si>
  <si>
    <t>010D - Kentaro Shiga</t>
  </si>
  <si>
    <t>001A - Kentaro Shiga</t>
  </si>
  <si>
    <t>0201 - Shinya Hashimoto</t>
  </si>
  <si>
    <t>001B - Shinya Hashimoto</t>
  </si>
  <si>
    <t>0202 - Tatsuji Fujinami</t>
  </si>
  <si>
    <t>001C - Tatsuji Fujinami</t>
  </si>
  <si>
    <t>0203 - Kensuke Sasaki</t>
  </si>
  <si>
    <t>001D - Kensuke Sasaki</t>
  </si>
  <si>
    <t>0204 - Kazuo Yamazaki</t>
  </si>
  <si>
    <t>001E - Kazuo Yamazaki</t>
  </si>
  <si>
    <t>0205 - Genichiro Tenryu</t>
  </si>
  <si>
    <t>001F - Genichiro Tenryu</t>
  </si>
  <si>
    <t>0206 - Shiro Koshinaka</t>
  </si>
  <si>
    <t>0020 - Shiro Koshinaka</t>
  </si>
  <si>
    <t>0207 - Yuji Nagata</t>
  </si>
  <si>
    <t>0021 - Yuji Nagata</t>
  </si>
  <si>
    <t>0208 - Manabu Nakanishi</t>
  </si>
  <si>
    <t>0022 - Manabu Nakanishi</t>
  </si>
  <si>
    <t>0209 - Tadao Yasuda</t>
  </si>
  <si>
    <t>0023 - Tadao Yasuda</t>
  </si>
  <si>
    <t>020A - Naoya Ogawa</t>
  </si>
  <si>
    <t>0024 - Naoya Ogawa</t>
  </si>
  <si>
    <t>020B - Antonio Inoki</t>
  </si>
  <si>
    <t>0025 - Antonio Inoki</t>
  </si>
  <si>
    <t>020C - Riki Chosu</t>
  </si>
  <si>
    <t>0026 - Riki Chosu</t>
  </si>
  <si>
    <t>020D - Don Frye</t>
  </si>
  <si>
    <t>0027 - Don Frye</t>
  </si>
  <si>
    <t>0301 - Masahiro Chono</t>
  </si>
  <si>
    <t>0028 - Masahiro Chono</t>
  </si>
  <si>
    <t>0302 - Hiroyoshi Tenzan</t>
  </si>
  <si>
    <t>0029 - Hiroyoshi Tenzan</t>
  </si>
  <si>
    <t>0303 - Keiji Mutoh</t>
  </si>
  <si>
    <t>002A - Keiji Mutoh</t>
  </si>
  <si>
    <t>0304 - Satoshi Kojima</t>
  </si>
  <si>
    <t>002B - Satoshi Kojima</t>
  </si>
  <si>
    <t>0305 - Hiro Saito</t>
  </si>
  <si>
    <t>002C - Hiro Saito</t>
  </si>
  <si>
    <t>0306 - Scott Norton</t>
  </si>
  <si>
    <t>002D - Scott Norton</t>
  </si>
  <si>
    <t>0307 - The Great Muta</t>
  </si>
  <si>
    <t>002E - The Great Muta</t>
  </si>
  <si>
    <t>0401 - Jushin Liger</t>
  </si>
  <si>
    <t>002F - Jushin Liger</t>
  </si>
  <si>
    <t>0402 - El Samurai</t>
  </si>
  <si>
    <t>0030 - El Samurai</t>
  </si>
  <si>
    <t>0403 - Kendo Ka Shin</t>
  </si>
  <si>
    <t>0031 - Kendo Ka Shin</t>
  </si>
  <si>
    <t>0404 - Shinjiro Ohtani</t>
  </si>
  <si>
    <t>0032 - Shinjiro Ohtani</t>
  </si>
  <si>
    <t>0405 - Tatsuhito Takaiwa</t>
  </si>
  <si>
    <t>0033 - Tatsuhito Takaiwa</t>
  </si>
  <si>
    <t>0406 - Koji Kanemoto</t>
  </si>
  <si>
    <t>0034 - Koji Kanemoto</t>
  </si>
  <si>
    <t>0407 - Dr. Wagner Jr.</t>
  </si>
  <si>
    <t>0035 - Dr. Wagner Jr.</t>
  </si>
  <si>
    <t>0408 - Tiger Mask</t>
  </si>
  <si>
    <t>0036 - Tiger Mask</t>
  </si>
  <si>
    <t>0409 - Magnum Tokyo</t>
  </si>
  <si>
    <t>0037 - Magnum Tokyo</t>
  </si>
  <si>
    <t>040A - Shima Nobunaga</t>
  </si>
  <si>
    <t>0038 - Shima Nobunaga</t>
  </si>
  <si>
    <t>0501 - Hayabusa</t>
  </si>
  <si>
    <t>0039 - Hayabusa</t>
  </si>
  <si>
    <t>0502 - Hiromichi Fuyuki</t>
  </si>
  <si>
    <t>003A - Hiromichi Fuyuki</t>
  </si>
  <si>
    <t>0503 - Jado</t>
  </si>
  <si>
    <t>003B - Jado</t>
  </si>
  <si>
    <t>0504 - Gedo</t>
  </si>
  <si>
    <t>003C - Gedo</t>
  </si>
  <si>
    <t>0505 - Mr. Gannosuke</t>
  </si>
  <si>
    <t>003D - Mr. Gannosuke</t>
  </si>
  <si>
    <t>0506 - Masato Tanaka</t>
  </si>
  <si>
    <t>003E - Masato Tanaka</t>
  </si>
  <si>
    <t>0507 - Mike Awesome</t>
  </si>
  <si>
    <t>003F - Mike Awesome</t>
  </si>
  <si>
    <t>0508 - Dragon Kid</t>
  </si>
  <si>
    <t>0040 - Dragon Kid</t>
  </si>
  <si>
    <t>0509 - Atsushi Onita</t>
  </si>
  <si>
    <t>0041 - Atsushi Onita</t>
  </si>
  <si>
    <t>050A - Terry Funk</t>
  </si>
  <si>
    <t>0042 - Terry Funk</t>
  </si>
  <si>
    <t>0601 - The Great Sasuke</t>
  </si>
  <si>
    <t>0043 - The Great Sasuke</t>
  </si>
  <si>
    <t>0602 - Jinsei Shinzaki</t>
  </si>
  <si>
    <t>0044 - Jinsei Shinzaki</t>
  </si>
  <si>
    <t>0603 - Super Delfin</t>
  </si>
  <si>
    <t>0045 - Super Delfin</t>
  </si>
  <si>
    <t>0604 - Gran Naniwa</t>
  </si>
  <si>
    <t>0046 - Gran Naniwa</t>
  </si>
  <si>
    <t>0605 - TAKA Michinoku</t>
  </si>
  <si>
    <t>0047 - TAKA Michinoku</t>
  </si>
  <si>
    <t>0606 - Mil Mascaras</t>
  </si>
  <si>
    <t>0048 - Mil Mascaras</t>
  </si>
  <si>
    <t>0607 - Enson Inoue</t>
  </si>
  <si>
    <t>0049 - Enson Inoue</t>
  </si>
  <si>
    <t>0701 - Kiyoshi Tamura</t>
  </si>
  <si>
    <t>004A - Kiyoshi Tamura</t>
  </si>
  <si>
    <t>0702 - Tsuyoshi Kousaka</t>
  </si>
  <si>
    <t>004B - Tsuyoshi Kousaka</t>
  </si>
  <si>
    <t>0703 - Bitsadze Tariel</t>
  </si>
  <si>
    <t>004C - Bitsadze Tariel</t>
  </si>
  <si>
    <t>0704 - Volk Han</t>
  </si>
  <si>
    <t>004D - Volk Han</t>
  </si>
  <si>
    <t>0705 - Akira Maeda</t>
  </si>
  <si>
    <t>004E - Akira Maeda</t>
  </si>
  <si>
    <t>0706 - Aleksandr Karelin</t>
  </si>
  <si>
    <t>004F - Aleksandr Karelin</t>
  </si>
  <si>
    <t>0801 - Yuki Ishikawa</t>
  </si>
  <si>
    <t>0050 - Yuki Ishikawa</t>
  </si>
  <si>
    <t>0802 - Alexander Otsuka</t>
  </si>
  <si>
    <t>0051 - Alexander Otsuka</t>
  </si>
  <si>
    <t>0803 - Daisuke Ikeda</t>
  </si>
  <si>
    <t>0052 - Daisuke Ikeda</t>
  </si>
  <si>
    <t>0804 - Minoru Tanaka</t>
  </si>
  <si>
    <t>0053 - Minoru Tanaka</t>
  </si>
  <si>
    <t>0805 - Yoshiaki Fujiwara</t>
  </si>
  <si>
    <t>0054 - Yoshiaki Fujiwara</t>
  </si>
  <si>
    <t>0806 - Rumina Sato</t>
  </si>
  <si>
    <t>0055 - Rumina Sato</t>
  </si>
  <si>
    <t>0901 - Masakatsu Funaki</t>
  </si>
  <si>
    <t>0056 - Masakatsu Funaki</t>
  </si>
  <si>
    <t>0902 - Yoshiki Takahashi</t>
  </si>
  <si>
    <t>0057 - Yoshiki Takahashi</t>
  </si>
  <si>
    <t>0903 - Minoru Suzuki</t>
  </si>
  <si>
    <t>0058 - Minoru Suzuki</t>
  </si>
  <si>
    <t>0904 - Kengo Watanabe</t>
  </si>
  <si>
    <t>0059 - Kengo Watanabe</t>
  </si>
  <si>
    <t>0905 - Bas Rutten</t>
  </si>
  <si>
    <t>005A - Bas Rutten</t>
  </si>
  <si>
    <t>0906 - Semmy Schilt</t>
  </si>
  <si>
    <t>005B - Semmy Schilt</t>
  </si>
  <si>
    <t>0A01 - Nobuhiko Takada</t>
  </si>
  <si>
    <t>005C - Nobuhiko Takada</t>
  </si>
  <si>
    <t>0A02 - Kazushi Sakuraba</t>
  </si>
  <si>
    <t>005D - Kazushi Sakuraba</t>
  </si>
  <si>
    <t>0A03 - Mark Kerr</t>
  </si>
  <si>
    <t>005E - Mark Kerr</t>
  </si>
  <si>
    <t>0A04 - Rickson Gracie</t>
  </si>
  <si>
    <t>005F - Rickson Gracie</t>
  </si>
  <si>
    <t>0B01 - Andre the Giant</t>
  </si>
  <si>
    <t>0060 - Andre the Giant</t>
  </si>
  <si>
    <t>0B02 - Ultimo Dragon</t>
  </si>
  <si>
    <t>0061 - Ultimo Dragon</t>
  </si>
  <si>
    <t>0B03 - Abdullah the Butcher</t>
  </si>
  <si>
    <t>0062 - Abdullah the Butcher</t>
  </si>
  <si>
    <t>0C01 - Original A</t>
  </si>
  <si>
    <t>0063 - Original A</t>
  </si>
  <si>
    <t>0C02 - Original B</t>
  </si>
  <si>
    <t>0064 - Original B</t>
  </si>
  <si>
    <t>0C03 - Original C</t>
  </si>
  <si>
    <t>0065 - Original C</t>
  </si>
  <si>
    <t>0C04 - Original D</t>
  </si>
  <si>
    <t>0066 - Original D</t>
  </si>
  <si>
    <t>0C05 - Original E</t>
  </si>
  <si>
    <t>0067 - Original E</t>
  </si>
  <si>
    <t>0C06 - Original F</t>
  </si>
  <si>
    <t>0068 - Original F</t>
  </si>
  <si>
    <t>0C07 - Original G</t>
  </si>
  <si>
    <t>0069 - Original G</t>
  </si>
  <si>
    <t>0C08 - Original H</t>
  </si>
  <si>
    <t>006A - Original H</t>
  </si>
  <si>
    <t>0C09 - Original I</t>
  </si>
  <si>
    <t>006B - Original I</t>
  </si>
  <si>
    <t>0C0A - Original J</t>
  </si>
  <si>
    <t>006C - Original J</t>
  </si>
  <si>
    <t>0C0B - Original K</t>
  </si>
  <si>
    <t>006D - Original K</t>
  </si>
  <si>
    <t>0C0C - Original L</t>
  </si>
  <si>
    <t>006E - Original L</t>
  </si>
  <si>
    <t>0C0D - Original M</t>
  </si>
  <si>
    <t>006F - Original M</t>
  </si>
  <si>
    <t>0C0E - Original N</t>
  </si>
  <si>
    <t>0070 - Original N</t>
  </si>
  <si>
    <t>0C0F - Original O</t>
  </si>
  <si>
    <t>0071 - Original O</t>
  </si>
  <si>
    <t>0C10 - Original P</t>
  </si>
  <si>
    <t>0072 - Original P</t>
  </si>
  <si>
    <t>00000000 = 0x00 Eliminated + Human?</t>
  </si>
  <si>
    <t>00000001 = 0x01 Ringside + Human</t>
  </si>
  <si>
    <t>00000010 = 0x02 Interference + Human</t>
  </si>
  <si>
    <t>00000100 = 0x04 Eliminated + Computer? (this is what you get when triggering shootfight elimination on outside)</t>
  </si>
  <si>
    <t>00000101 = 0x05 Ringside + Computer</t>
  </si>
  <si>
    <t>00000110 = 0x06 Interference + Computer</t>
  </si>
  <si>
    <t>00001000 = 0x08 Legal + Human</t>
  </si>
  <si>
    <t>00001001 = 0x09</t>
  </si>
  <si>
    <t>00001010 = 0x0A</t>
  </si>
  <si>
    <t>00001100 = 0x0C Legal + Computer</t>
  </si>
  <si>
    <t>00010000 = 0x10 Not Legal + Human</t>
  </si>
  <si>
    <t>00010010 = 0x12</t>
  </si>
  <si>
    <t>00011000 = 0x18 Legal + Human?</t>
  </si>
  <si>
    <t>00100100 = 0x24</t>
  </si>
  <si>
    <t>00101000 = 0x28</t>
  </si>
  <si>
    <t>00101100 = 0x2C</t>
  </si>
  <si>
    <t>00110000 = 0x30</t>
  </si>
  <si>
    <t>00111000 = 0x38</t>
  </si>
  <si>
    <t>0000 - Single Match</t>
  </si>
  <si>
    <t>Loads of other ones – Champ Carnival, etc</t>
  </si>
  <si>
    <t>0001 - Tag Match</t>
  </si>
  <si>
    <t>0002 - Battle Royal</t>
  </si>
  <si>
    <t>0003 - 3 Way Match</t>
  </si>
  <si>
    <t>0010 - Triple Crown Championship Single</t>
  </si>
  <si>
    <t>0011 - Triple Crown Championship Tag</t>
  </si>
  <si>
    <t>0012 - Triple Crown Championship Battle Royal</t>
  </si>
  <si>
    <t>0013 - Triple Crown Championship 3 Way</t>
  </si>
  <si>
    <t>0020 - World Tag Championship Single</t>
  </si>
  <si>
    <t>0021 - World Tag Championship Tag</t>
  </si>
  <si>
    <t>0022 - World Tag Championship Battle Royal</t>
  </si>
  <si>
    <t>0023 - World Tag Championship 3 Way</t>
  </si>
  <si>
    <t>0030 - Asia Tag Championship Single</t>
  </si>
  <si>
    <t>0031 - Asia Tag Championship Tag</t>
  </si>
  <si>
    <t>0032 - Asia Tag Championship Battle Royal</t>
  </si>
  <si>
    <t>0033 - Asia Tag Championship 3 Way</t>
  </si>
  <si>
    <t>Barbed-Wire/Baseball Bat</t>
  </si>
  <si>
    <t>80047C0C - Polygon 1 (08F8)</t>
  </si>
  <si>
    <t>80047C0E - Polygon 2 (08FB)</t>
  </si>
  <si>
    <t>Baseball Bat</t>
  </si>
  <si>
    <t>80047C10 - Graphic 1 (08F9)</t>
  </si>
  <si>
    <t>80047C12 - Graphic 2 (08F9)</t>
  </si>
  <si>
    <t>Barbed-Wire Baseball Bat</t>
  </si>
  <si>
    <t>80047C14 - Graphic 1 (08FC)</t>
  </si>
  <si>
    <t>80047C16 - Graphic 2 (08FC)</t>
  </si>
  <si>
    <t>Chair</t>
  </si>
  <si>
    <t>80047C18 - Polygon 1 (08FE)</t>
  </si>
  <si>
    <t>80047C1A - Polygon 2 (0901)</t>
  </si>
  <si>
    <t>80047C1C - Polygon 3 (0904)</t>
  </si>
  <si>
    <t>80047C20 - Graphic 1 (08FF)</t>
  </si>
  <si>
    <t>80047C22 - Graphic 2 (0902)</t>
  </si>
  <si>
    <t>80047C24 - Graphic 3 (0905)</t>
  </si>
  <si>
    <t>Table</t>
  </si>
  <si>
    <t>80047C28 - Polygon 1 (08FE)</t>
  </si>
  <si>
    <t>80047C2A - Polygon 2 (0901)</t>
  </si>
  <si>
    <t>80047C2C - Polygon 3 (0904)</t>
  </si>
  <si>
    <t>80047C30 - Graphic 1 (0907)</t>
  </si>
  <si>
    <t>80047C32 - Graphic 2 (0909)</t>
  </si>
  <si>
    <t>80047C34 - Graphic 3 (090B)</t>
  </si>
  <si>
    <t>Microphone</t>
  </si>
  <si>
    <t>81047C38 - Polygon 1 (0912)</t>
  </si>
  <si>
    <t>81047C3C - Graphic 1 (0910)</t>
  </si>
  <si>
    <t>Kendo Stick</t>
  </si>
  <si>
    <t>80047C40 - Polygon 1 (0915)</t>
  </si>
  <si>
    <t>80047C42 - Polygon 2 (0916)</t>
  </si>
  <si>
    <t>80047C44 - Graphic 1 (0913)</t>
  </si>
  <si>
    <t>80047C46 - Graphic 2 (0913)</t>
  </si>
  <si>
    <t>Sickle</t>
  </si>
  <si>
    <t>80047C48 - Polygon (090F)</t>
  </si>
  <si>
    <t>80047C4C - Graphic (090D)</t>
  </si>
  <si>
    <t xml:space="preserve">0x04, 0xFE, 0x00, 0x00, 0x00, 0xFF, 0xFF, 0xFD, 0x04, 0xFE, 0x01, 0xFF, 0xFE, 0xFF, 0xFE, 0xFF, 0xFF, 0xFD, 0x01, 0xFF, 0x01, 0xFF, 0xFE, 0xFF, 0xFE, 0xFF, 0xFF, 0xFD, 0x01, 0xFF, 0x01, 0xFF, 0xFE, 0xFF, 0xFE, 0xFF, 0xFF, 0xFD, 0x01, 0xFF, 0x02, 0x01, 0xFF, 0x01, 0xFF, 0xFE, 0xFE, 0x00, 0x02, 0x01, 0x02, 0x01, 0xFF, 0x01, 0xFF, 0x00, 0x00, 0x00, 0x02, 0x01, 0x02, 0x01, 0xFF, 0x01, 0xFF, 0xFE, 0xFE, 0x00, 0x02, 0x01, 0x02, 0x01, 0xFF, 0x01, 0xFF, 0x00, 0x00, 0x00, 0x02, 0x01, 0x06, 0x03, 0x02, 0x03, 0x02, 0xFD, 0xFD, 0xFF, 0x06, 0x03, 0x05, 0x02, 0x01, 0x02, 0x01, 0xFD, 0xFD, 0xFF, 0x05, 0x02, 0x01, 0xFF, 0xFF, 0xFF, 0xFF, 0x00, 0x00, 0x00, 0x01, 0xFF, 0x05, 0x02, 0x01, 0x02, 0x01, 0x00, 0x00, 0x00, 0x05, 0x02, 0xFE, 0xFD, 0xFA, 0xFA, 0xFA, 0xFA, 0xFA, 0xFA, 0xFE, 0xFD, 0x00, 0x00 </t>
  </si>
  <si>
    <t>70 options</t>
  </si>
  <si>
    <t>Multiplier</t>
  </si>
  <si>
    <t>Budokan (11,800)</t>
  </si>
  <si>
    <t>Dome (7,770)</t>
  </si>
  <si>
    <t>AKI Hall (1,600)</t>
  </si>
  <si>
    <t>Kawasaki (40,100)</t>
  </si>
  <si>
    <t xml:space="preserve">.byte 0x04, 0xFE, 0x00, 0x00, 0x00, 0xFF, 0xFF, 0xFD .byte 0x04, 0xFE, 0x01, 0xFF, 0xFE, 0xFF, 0xFE, 0xFF .byte 0xFF, 0xFD, 0x01, 0xFF, 0x01, 0xFF, 0xFE, 0xFF .byte 0xFE, 0xFF, 0xFF, 0xFD, 0x01, 0xFF, 0x01, 0xFF .byte 0xFE, 0xFF, 0xFE, 0xFF, 0xFF, 0xFD, 0x01, 0xFF .byte 0x02, 0x01, 0xFF, 0x01, 0xFF, 0xFE, 0xFE, 0x00 .byte 0x02, 0x01, 0x02, 0x01, 0xFF, 0x01, 0xFF, 0x00 .byte 0x00, 0x00, 0x02, 0x01, 0x02, 0x01, 0xFF, 0x01 .byte 0xFF, 0xFE, 0xFE, 0x00, 0x02, 0x01, 0x02, 0x01 .byte 0xFF, 0x01, 0xFF, 0x00, 0x00, 0x00, 0x02, 0x01 .byte 0x06, 0x03, 0x02, 0x03, 0x02, 0xFD, 0xFD, 0xFF .byte 0x06, 0x03, 0x05, 0x02, 0x01, 0x02, 0x01, 0xFD .byte 0xFD, 0xFF, 0x05, 0x02, 0x01, 0xFF, 0xFF, 0xFF .byte 0xFF, 0x00, 0x00, 0x00, 0x01, 0xFF, 0x05, 0x02 .byte 0x01, 0x02, 0x01, 0x00, 0x00, 0x00, 0x05, 0x02 .byte 0xFE, 0xFD, 0xFA, 0xFA, 0xFA, 0xFA, 0xFA, 0xFA .byte 0xFE, 0xFD, 0x00, 0x00 </t>
  </si>
  <si>
    <t>Truly a miracle! PLAYER wins in seconds!</t>
  </si>
  <si>
    <t>Dumbfounded PLAYER! Regrettable defeat by an unbelievable Seconds Kill</t>
  </si>
  <si>
    <t>Surprising short-time Duration Draw!  This remains unsettled…</t>
  </si>
  <si>
    <t>PLAYER, picked up the judges-decision victory</t>
  </si>
  <si>
    <t>PLAYER, defeated by way of judges decision</t>
  </si>
  <si>
    <t>PLAYER in lonely ringout win with absence of fans</t>
  </si>
  <si>
    <t>Ring out loss in no time at all! PLAYER, this sort of loss is unbelievable</t>
  </si>
  <si>
    <t>Intentional? Mistake? Short draw with opaque ending</t>
  </si>
  <si>
    <t>Unbelievable one hit victory! PLAYER crushing TKO win</t>
  </si>
  <si>
    <t>PLAYER miserable!   Miserable Seconds Kill shocking knockout</t>
  </si>
  <si>
    <t>PLAYER perfect speed win</t>
  </si>
  <si>
    <t>Couldnt break the stronghold!  PLAYER, loss without being able to do anything</t>
  </si>
  <si>
    <t>0C</t>
  </si>
  <si>
    <t>SAME AS 02</t>
  </si>
  <si>
    <t>SAME AS 03</t>
  </si>
  <si>
    <t>0E</t>
  </si>
  <si>
    <t>SAME AS 04</t>
  </si>
  <si>
    <t>SAME AS 05</t>
  </si>
  <si>
    <t>SAME AS 06</t>
  </si>
  <si>
    <t>11</t>
  </si>
  <si>
    <t>SAME AS 07</t>
  </si>
  <si>
    <t>Don’t miss! PLAYER with the surplus-KO perfect victory</t>
  </si>
  <si>
    <t>13</t>
  </si>
  <si>
    <t>PLAYER, were you paying attention? Fainting KO caused by strong blow</t>
  </si>
  <si>
    <t>14</t>
  </si>
  <si>
    <t>PLAYER, quick witted reversal speed victory</t>
  </si>
  <si>
    <t>15</t>
  </si>
  <si>
    <t>SAME AS 0B</t>
  </si>
  <si>
    <t>16</t>
  </si>
  <si>
    <t>17</t>
  </si>
  <si>
    <t>18</t>
  </si>
  <si>
    <t>19</t>
  </si>
  <si>
    <t>1A</t>
  </si>
  <si>
    <t>1B</t>
  </si>
  <si>
    <t>1C</t>
  </si>
  <si>
    <t>Plot twist of the century!  Unbelievable PLAYER reversal KO victory!</t>
  </si>
  <si>
    <t>1D</t>
  </si>
  <si>
    <t>Just a certain event!  PLAYER finally cant stand up…</t>
  </si>
  <si>
    <t>PLAYER, speedy win with a quick attack</t>
  </si>
  <si>
    <t>1F</t>
  </si>
  <si>
    <t>Short time defeat! PLAYER can’t beat the opponent…</t>
  </si>
  <si>
    <t>22</t>
  </si>
  <si>
    <t>23</t>
  </si>
  <si>
    <t>24</t>
  </si>
  <si>
    <t>25</t>
  </si>
  <si>
    <t>26</t>
  </si>
  <si>
    <t>Came out! PLAYER knocks out a sticky opponent with a single lucky KO smash</t>
  </si>
  <si>
    <t>27</t>
  </si>
  <si>
    <t>PLAYER remorse!  Falls to a lucky blow</t>
  </si>
  <si>
    <t>28</t>
  </si>
  <si>
    <t>PLAYER complete victory .. didn’t let him come close at all</t>
  </si>
  <si>
    <t>29</t>
  </si>
  <si>
    <t>What happened PLAYER?  Unbelievable loss…</t>
  </si>
  <si>
    <t>2A</t>
  </si>
  <si>
    <t>No end game? Neither can attack and regrattable draw</t>
  </si>
  <si>
    <t>2B</t>
  </si>
  <si>
    <t>2C</t>
  </si>
  <si>
    <t>Planned crime?  PLAYER skillfully picks up the ringout win</t>
  </si>
  <si>
    <t>2E</t>
  </si>
  <si>
    <t>What just happened PLAYER?  Unbelievable comeback loss outside of ring…</t>
  </si>
  <si>
    <t>2F</t>
  </si>
  <si>
    <t>Unbelievable both ring out.  This isn’t settled!!</t>
  </si>
  <si>
    <t>PLAYER, no complaints KO victory!</t>
  </si>
  <si>
    <t>PLAYER, comfortable KO without dramatic build up</t>
  </si>
  <si>
    <t>PLAYER, miraculous come from behind victory</t>
  </si>
  <si>
    <t>33</t>
  </si>
  <si>
    <t>PLAYER, complete defeat! Is this the difference in ability?</t>
  </si>
  <si>
    <t>34</t>
  </si>
  <si>
    <t>SAME AS 2A</t>
  </si>
  <si>
    <t>35</t>
  </si>
  <si>
    <t>36</t>
  </si>
  <si>
    <t>37</t>
  </si>
  <si>
    <t>PLAYER, intelligent victory!</t>
  </si>
  <si>
    <t>38</t>
  </si>
  <si>
    <t>PLAYER, humiliating outside of ring loss!</t>
  </si>
  <si>
    <t>39</t>
  </si>
  <si>
    <t>SAME AS 2F</t>
  </si>
  <si>
    <t>3A</t>
  </si>
  <si>
    <t>Unbelievable miracle one-hit! In a tight spot, PLAYER gets to know an angel called KO</t>
  </si>
  <si>
    <t>3B</t>
  </si>
  <si>
    <t>That’s the fearsome one-shot! PLAYER left crumpled up with a KO loss!</t>
  </si>
  <si>
    <t>PLAYER win without danger!</t>
  </si>
  <si>
    <t>3D</t>
  </si>
  <si>
    <t>Unconscious!  PLAYER, having a poor endgame, unlikely big comeback loss…</t>
  </si>
  <si>
    <t>3E</t>
  </si>
  <si>
    <t>3F</t>
  </si>
  <si>
    <t>40</t>
  </si>
  <si>
    <t>SAME AS 2D</t>
  </si>
  <si>
    <t>42</t>
  </si>
  <si>
    <t>SAME AS 2E</t>
  </si>
  <si>
    <t>43</t>
  </si>
  <si>
    <t>44</t>
  </si>
  <si>
    <t>PLAYER puts an end to a fierce battle with a stunning KO drama</t>
  </si>
  <si>
    <t>45</t>
  </si>
  <si>
    <t>A moment hesitation decides the match! PLAYER remorseful reversal KO loser</t>
  </si>
  <si>
    <t>46</t>
  </si>
  <si>
    <t>PLAYER cliff edge big victory!!</t>
  </si>
  <si>
    <t>47</t>
  </si>
  <si>
    <t>PLAYER start to finish couldn’t attack…</t>
  </si>
  <si>
    <t>48</t>
  </si>
  <si>
    <t>49</t>
  </si>
  <si>
    <t>SAME AS 37</t>
  </si>
  <si>
    <t>SAME AS 38</t>
  </si>
  <si>
    <t>PLAYER amazing thing! Come from behind victory with a KO shot</t>
  </si>
  <si>
    <t>A vivid KO drama! PLAYER wailing at such a cold blooded conclusion</t>
  </si>
  <si>
    <t>A splendid battle! PLAYER wins a super technical battle</t>
  </si>
  <si>
    <t>Beaten but the skies are clear! PLAYER didn’t win but did enough to satisfy the crowd</t>
  </si>
  <si>
    <t>52</t>
  </si>
  <si>
    <t>Full time regret! Neither side gives up</t>
  </si>
  <si>
    <t>53</t>
  </si>
  <si>
    <t>54</t>
  </si>
  <si>
    <t>55</t>
  </si>
  <si>
    <t>56</t>
  </si>
  <si>
    <t>SAME AS 60</t>
  </si>
  <si>
    <t>57</t>
  </si>
  <si>
    <t>SAME AS 61</t>
  </si>
  <si>
    <t>58</t>
  </si>
  <si>
    <t>Historic KO drama! PLAYER wins a battle of the century</t>
  </si>
  <si>
    <t>59</t>
  </si>
  <si>
    <t>PLAYER KO loss! Couldnt make the great heated battle of the century</t>
  </si>
  <si>
    <t>5A</t>
  </si>
  <si>
    <t>PLAYER wins the historic fierce battle</t>
  </si>
  <si>
    <t>5B</t>
  </si>
  <si>
    <t>PLAYER defeated! Just couldn’t take that last step…</t>
  </si>
  <si>
    <t>5C</t>
  </si>
  <si>
    <t>SAME AS 52</t>
  </si>
  <si>
    <t>5D</t>
  </si>
  <si>
    <t>5E</t>
  </si>
  <si>
    <t>PLAYER wins with a ringout that ruins a good match</t>
  </si>
  <si>
    <t>60</t>
  </si>
  <si>
    <t>PLAYER be alert??  The good game has changed and its a rainy day out on the field</t>
  </si>
  <si>
    <t>61</t>
  </si>
  <si>
    <t>Both ringout ruling on verge of runawaY</t>
  </si>
  <si>
    <t>62</t>
  </si>
  <si>
    <t>PLAYER wins the see saw game with one winning blow</t>
  </si>
  <si>
    <t>63</t>
  </si>
  <si>
    <t>Skillful offence and defence. PLAYER sinks with one shot</t>
  </si>
  <si>
    <t>64</t>
  </si>
  <si>
    <t>Despicable PLAYER, evil victory due to repeated weapon attacks</t>
  </si>
  <si>
    <t>65</t>
  </si>
  <si>
    <t>With screaming swirling, PLAYER finally couldn’t get up</t>
  </si>
  <si>
    <t>66</t>
  </si>
  <si>
    <t>Weapon heavy draw in the absence of spectators! A grudge to be settled…</t>
  </si>
  <si>
    <t>67</t>
  </si>
  <si>
    <t>68</t>
  </si>
  <si>
    <t>69</t>
  </si>
  <si>
    <t>6A</t>
  </si>
  <si>
    <t>6B</t>
  </si>
  <si>
    <t>PLAYER a fierce KO burial with merciless weapon attacks</t>
  </si>
  <si>
    <t>6D</t>
  </si>
  <si>
    <t>Is there such a thing? PLAYER with miserable defeat</t>
  </si>
  <si>
    <t>6E</t>
  </si>
  <si>
    <t>PLAYER ending the fierce battle</t>
  </si>
  <si>
    <t>6F</t>
  </si>
  <si>
    <t>PLAYER regrettable defeat</t>
  </si>
  <si>
    <t>70</t>
  </si>
  <si>
    <t>Regrettable time limit draw! Absolutely nothing has been settled…</t>
  </si>
  <si>
    <t>71</t>
  </si>
  <si>
    <t>72</t>
  </si>
  <si>
    <t>73</t>
  </si>
  <si>
    <t>74</t>
  </si>
  <si>
    <t>75</t>
  </si>
  <si>
    <t>76</t>
  </si>
  <si>
    <t>SAME AS 30</t>
  </si>
  <si>
    <t>77</t>
  </si>
  <si>
    <t>PLAYER regrettable KO loss</t>
  </si>
  <si>
    <t>78</t>
  </si>
  <si>
    <t>A riot breaks out? PLAYER victory in a storm of boos</t>
  </si>
  <si>
    <t>79</t>
  </si>
  <si>
    <t>PLAYER in amongst the boos, a miserable defeat</t>
  </si>
  <si>
    <t>7A</t>
  </si>
  <si>
    <t>Just what was that? Draw without much offence or defence</t>
  </si>
  <si>
    <t>7C</t>
  </si>
  <si>
    <t>7D</t>
  </si>
  <si>
    <t>Both sides fail to bite. PLAYER in ringout win that looked like running away</t>
  </si>
  <si>
    <t>7E</t>
  </si>
  <si>
    <t>PLAYER suffers the worst ringside defeat in a storm of boos</t>
  </si>
  <si>
    <t>7F</t>
  </si>
  <si>
    <t>Suspicious both players ringout!  The hall is silent due to mysterious ending</t>
  </si>
  <si>
    <t>A flash of light in the quiet battle PLAYER wins by KO</t>
  </si>
  <si>
    <t>Unbelievable one hit critical strike! PLAYER (something) KO win</t>
  </si>
  <si>
    <t>82</t>
  </si>
  <si>
    <t>SAME AS 00</t>
  </si>
  <si>
    <t>83</t>
  </si>
  <si>
    <t>20���SP</t>
  </si>
  <si>
    <t>21���!</t>
  </si>
  <si>
    <t>22���"</t>
  </si>
  <si>
    <t>23���#</t>
  </si>
  <si>
    <t>24���$</t>
  </si>
  <si>
    <t>25���%</t>
  </si>
  <si>
    <t>26���&amp;</t>
  </si>
  <si>
    <t>27���'</t>
  </si>
  <si>
    <t>28���(</t>
  </si>
  <si>
    <t>29���)</t>
  </si>
  <si>
    <t>2A���*</t>
  </si>
  <si>
    <t>2B���+</t>
  </si>
  <si>
    <t>2C���,</t>
  </si>
  <si>
    <t>2D���-</t>
  </si>
  <si>
    <t>2E���.</t>
  </si>
  <si>
    <t>2F���/</t>
  </si>
  <si>
    <t>30���0</t>
  </si>
  <si>
    <t>31���1</t>
  </si>
  <si>
    <t>32���2</t>
  </si>
  <si>
    <t>33���3</t>
  </si>
  <si>
    <t>34���4</t>
  </si>
  <si>
    <t>35���5</t>
  </si>
  <si>
    <t>36���6</t>
  </si>
  <si>
    <t>37���7</t>
  </si>
  <si>
    <t>38���8</t>
  </si>
  <si>
    <t>39���9</t>
  </si>
  <si>
    <t>3A���:</t>
  </si>
  <si>
    <t>3B���;</t>
  </si>
  <si>
    <t>3C���&lt;</t>
  </si>
  <si>
    <t>3D���=</t>
  </si>
  <si>
    <t>3E���&gt;</t>
  </si>
  <si>
    <t>3F���?</t>
  </si>
  <si>
    <t>40���@</t>
  </si>
  <si>
    <t>41���A</t>
  </si>
  <si>
    <t>42���B</t>
  </si>
  <si>
    <t>43���C</t>
  </si>
  <si>
    <t>44���D</t>
  </si>
  <si>
    <t>45���E</t>
  </si>
  <si>
    <t>46���F</t>
  </si>
  <si>
    <t>47���G</t>
  </si>
  <si>
    <t>48���H</t>
  </si>
  <si>
    <t>49���I</t>
  </si>
  <si>
    <t>4A���J</t>
  </si>
  <si>
    <t>4B���K</t>
  </si>
  <si>
    <t>4C���L</t>
  </si>
  <si>
    <t>4D���M</t>
  </si>
  <si>
    <t>4E4A5057[5f][20]32</t>
  </si>
  <si>
    <t>4E���N</t>
  </si>
  <si>
    <t>4F���O</t>
  </si>
  <si>
    <t>50���P</t>
  </si>
  <si>
    <t>51���Q</t>
  </si>
  <si>
    <t>52���R</t>
  </si>
  <si>
    <t>53���S</t>
  </si>
  <si>
    <t>54���T</t>
  </si>
  <si>
    <t>55���U</t>
  </si>
  <si>
    <t>56���V</t>
  </si>
  <si>
    <t>57���W</t>
  </si>
  <si>
    <t>58���X</t>
  </si>
  <si>
    <t>59���Y</t>
  </si>
  <si>
    <t>5A���Z</t>
  </si>
  <si>
    <t>5B���[</t>
  </si>
  <si>
    <t>5C���\</t>
  </si>
  <si>
    <t>5D���]</t>
  </si>
  <si>
    <t>5E���^</t>
  </si>
  <si>
    <t>5F���_</t>
  </si>
  <si>
    <t>60���`</t>
  </si>
  <si>
    <t>61���a</t>
  </si>
  <si>
    <t>62���b</t>
  </si>
  <si>
    <t>63���c</t>
  </si>
  <si>
    <t>64���d</t>
  </si>
  <si>
    <t>65���e</t>
  </si>
  <si>
    <t>66���f</t>
  </si>
  <si>
    <t>67���g</t>
  </si>
  <si>
    <t>68���h</t>
  </si>
  <si>
    <t>69���i</t>
  </si>
  <si>
    <t>6A���j</t>
  </si>
  <si>
    <t>6B���k</t>
  </si>
  <si>
    <t>6C���l</t>
  </si>
  <si>
    <t>6D���m</t>
  </si>
  <si>
    <t>6E���n</t>
  </si>
  <si>
    <t>6F���o</t>
  </si>
  <si>
    <t>70���p</t>
  </si>
  <si>
    <t>71���q</t>
  </si>
  <si>
    <t>72���r</t>
  </si>
  <si>
    <t>73���s</t>
  </si>
  <si>
    <t>74���t</t>
  </si>
  <si>
    <t>75���u</t>
  </si>
  <si>
    <t>76���v</t>
  </si>
  <si>
    <t>77���w</t>
  </si>
  <si>
    <t>78���x</t>
  </si>
  <si>
    <t>79���y</t>
  </si>
  <si>
    <t>7A���z</t>
  </si>
  <si>
    <t>7B���{</t>
  </si>
  <si>
    <t>7C���|</t>
  </si>
  <si>
    <t>7D���}</t>
  </si>
  <si>
    <t>7E���~</t>
  </si>
  <si>
    <t>Credit: JamStubbs, Fat Dave &amp; BioHazardandTsukino</t>
  </si>
  <si>
    <t>Example</t>
  </si>
  <si>
    <t>To translate the LEAGUE selection on the main menu, take the start addy 811043AC then find the value for your first 2 letters, in this case L is 4C and E is 45. You then add 2 to the address in hexidecimal for each additional set of letters. The final letter must be 00 to signify the end of the text so the code would be:</t>
  </si>
  <si>
    <t>811043AC 4C45 - LE</t>
  </si>
  <si>
    <t>811043AE 4147 - AG</t>
  </si>
  <si>
    <t>811043B0 5545 - UE</t>
  </si>
  <si>
    <t>811043B2 0000 - (End)</t>
  </si>
  <si>
    <t>9C3E0 - Byte 1</t>
  </si>
  <si>
    <t>TigerMask</t>
  </si>
  <si>
    <t>0D40E422</t>
  </si>
  <si>
    <t>128 64 32 16 8 4 2 1</t>
  </si>
  <si>
    <t>0    0  0  0 0 0 0 0  = (00)</t>
  </si>
  <si>
    <t>0    0 0  0 0 0 0 1  = Hop on to Top Rope (01)</t>
  </si>
  <si>
    <t>0    0  0  0 0 0 1 0  = (02)</t>
  </si>
  <si>
    <t>Misawa had this</t>
  </si>
  <si>
    <t>Sasuke</t>
  </si>
  <si>
    <t>Inoki</t>
  </si>
  <si>
    <t>0    0  0  0 0 1 0 0  =  (04)</t>
  </si>
  <si>
    <t>Tiger Mask</t>
  </si>
  <si>
    <t>0    0  1  0 0 0 0 0  =  (20)</t>
  </si>
  <si>
    <t>0    1  0  0 0 0 0 0  =  (40)</t>
  </si>
  <si>
    <t>1    0  0  0 0 0 0 0  =  (80)</t>
  </si>
  <si>
    <t>9C3E1 - Byte 2</t>
  </si>
  <si>
    <t>0    0  0  0 0 0 0 0  = NO leapfrog (00)</t>
  </si>
  <si>
    <t>0    0 0  0 0 0 0 1  = Giant style Ring Entry (01)</t>
  </si>
  <si>
    <t>0    0  0  0 0 0 1 0  = Leapfrog style Ring Entry (02)</t>
  </si>
  <si>
    <t>0    0  0  0 0 1 0 0  = Flipping style Ring Entry (04)</t>
  </si>
  <si>
    <t>0    0  0  0 1 0 0 0  = Female style Ring Entry (08)</t>
  </si>
  <si>
    <t>0    0  0  1 0 0 0 0  = Jump Leapfrog (10)</t>
  </si>
  <si>
    <t>0    0  1  0 0 0 0 0  =  Prone Leapfrog (20)</t>
  </si>
  <si>
    <t>0    1  0  0 0 0 0 0  =  Both Leapfrog (40)</t>
  </si>
  <si>
    <t>9C3E2 - Byte 3</t>
  </si>
  <si>
    <t>0    0 0  0 0 0 0 1  = Fighting Stance (Similar to Giant) (01)</t>
  </si>
  <si>
    <t>0    0  0  0 0 0 1 0  = Fighting Stance (Female) (02)</t>
  </si>
  <si>
    <t>0    0  0  0 0 1 0 0  =  Junior Heavy (04)</t>
  </si>
  <si>
    <t>rightmost</t>
  </si>
  <si>
    <t>0    0  0  0 1 0 0 0  = Heavyweight (08)</t>
  </si>
  <si>
    <t>1 bit</t>
  </si>
  <si>
    <t>3 bits</t>
  </si>
  <si>
    <t>7 bits</t>
  </si>
  <si>
    <t>0    0  0  1 0 0 0 0  =  Super Heavyweight (10)</t>
  </si>
  <si>
    <t>Giant Style ring entry</t>
  </si>
  <si>
    <t>Weight class</t>
  </si>
  <si>
    <t>Fight Stances</t>
  </si>
  <si>
    <t>Fight Style (Puroresu, Hybrid, Shoot)</t>
  </si>
  <si>
    <t>0    0  1  0 0 0 0 0  = Can whip/be whipped (20)</t>
  </si>
  <si>
    <t>0    1  0  0 0 0 0 0  =  Mount instead of pinfall (40)</t>
  </si>
  <si>
    <t>1    0  0  0 0 0 0 0  = Ring entry style - hop over ropes (80)</t>
  </si>
  <si>
    <t>9C3E3 - Byte 4</t>
  </si>
  <si>
    <t>0    0  0  0 0 0 0 0  =  (00)</t>
  </si>
  <si>
    <t>0    0 0  0 0 0 0 1  = Puroresu Style (01)</t>
  </si>
  <si>
    <t>0    0  0  0 0 0 1 0  = Hybrid Style (02)</t>
  </si>
  <si>
    <t>0    0  0  0 0 1 0 0  = Shoot Style (04)</t>
  </si>
  <si>
    <t>0    0  0  0 1 0 0 0  = Pro Wrestling Stance (08)</t>
  </si>
  <si>
    <t>0    0  0  1 0 0 0 0  = MMA Stance (arms up) (10)</t>
  </si>
  <si>
    <t>0    0  1  0 0 0 0 0  = Shoot Stance (arms up) (20)</t>
  </si>
  <si>
    <t>0    1  0  0 0 0 0 0  = Fighting Stance (Revenge style) (40)</t>
  </si>
  <si>
    <t>1    0  0  0 0 0 0 0  = Fighting Stance (Giant / Kings Road Style) (80)</t>
  </si>
  <si>
    <t>Johnny Ace</t>
  </si>
  <si>
    <t>Andre</t>
  </si>
  <si>
    <t>Sato</t>
  </si>
  <si>
    <t>Misawa</t>
  </si>
  <si>
    <t>0    0  0  0 0 0 1 0  = Used a lot (02)</t>
  </si>
  <si>
    <t>0    0  0  0 1 0 0 0  = Wrestler has mask (08)??</t>
  </si>
  <si>
    <t>0    0  0  1 0 0 0 0  =  Wrestler has second / manager (10)???</t>
  </si>
  <si>
    <t>VPW2 Textures and Polygons</t>
  </si>
  <si>
    <t>Last Updated June 14 2009 17:54 Central</t>
  </si>
  <si>
    <t>-------------------------------------------</t>
  </si>
  <si>
    <t>A lot of textures were tested on the Korakuen hall mat, so these</t>
  </si>
  <si>
    <t>values may yield different results in different places.</t>
  </si>
  <si>
    <t>Face and mask textures were tested on specified parts.</t>
  </si>
  <si>
    <t>0002 [Tex?] white</t>
  </si>
  <si>
    <t>0003 [????]</t>
  </si>
  <si>
    <t>0004 [????]</t>
  </si>
  <si>
    <t>0005 [????]</t>
  </si>
  <si>
    <t>0006 [????]</t>
  </si>
  <si>
    <t>0007 [????]</t>
  </si>
  <si>
    <t>0008 [????]</t>
  </si>
  <si>
    <t>0009 [????]</t>
  </si>
  <si>
    <t>000A [????]</t>
  </si>
  <si>
    <t>000B [Tex?] pale greenish</t>
  </si>
  <si>
    <t>000C [????]</t>
  </si>
  <si>
    <t>000D [????]</t>
  </si>
  <si>
    <t>000E [Tex?] bright blue</t>
  </si>
  <si>
    <t>000F [????]</t>
  </si>
  <si>
    <t>0010 [????]</t>
  </si>
  <si>
    <t>0011 [????]</t>
  </si>
  <si>
    <t>0012 [????]</t>
  </si>
  <si>
    <t>0013 [????]</t>
  </si>
  <si>
    <t>0014 [????]</t>
  </si>
  <si>
    <t>0015 [????]</t>
  </si>
  <si>
    <t>0016 [????] bright blue</t>
  </si>
  <si>
    <t>0017 [????]</t>
  </si>
  <si>
    <t>0018 [????]</t>
  </si>
  <si>
    <t>0019 [????]</t>
  </si>
  <si>
    <t>001A [????]</t>
  </si>
  <si>
    <t>001B [????]</t>
  </si>
  <si>
    <t>001C [????]</t>
  </si>
  <si>
    <t>001D [????]</t>
  </si>
  <si>
    <t>001E [????]</t>
  </si>
  <si>
    <t>001F [????]</t>
  </si>
  <si>
    <t>0020 [????]</t>
  </si>
  <si>
    <t>0021 [Tex?] flat green</t>
  </si>
  <si>
    <t>0022 [Tex?] flat green</t>
  </si>
  <si>
    <t>0023 [Tex?] flat green</t>
  </si>
  <si>
    <t>-----------</t>
  </si>
  <si>
    <t>unchecked below here</t>
  </si>
  <si>
    <t>0024 [????]</t>
  </si>
  <si>
    <t>0025 [????]</t>
  </si>
  <si>
    <t>0026 [????]</t>
  </si>
  <si>
    <t>0027 [????]</t>
  </si>
  <si>
    <t>0028 [????]</t>
  </si>
  <si>
    <t>0029 [????]</t>
  </si>
  <si>
    <t>002A [????]</t>
  </si>
  <si>
    <t>002B [????]</t>
  </si>
  <si>
    <t>002C [????]</t>
  </si>
  <si>
    <t>002D [????]</t>
  </si>
  <si>
    <t>002E [????]</t>
  </si>
  <si>
    <t>002F [????]</t>
  </si>
  <si>
    <t>0030 [????]</t>
  </si>
  <si>
    <t>0031 [????]</t>
  </si>
  <si>
    <t>0032 [????]</t>
  </si>
  <si>
    <t>0033 [????]</t>
  </si>
  <si>
    <t>0034 [????]</t>
  </si>
  <si>
    <t>0035 [????]</t>
  </si>
  <si>
    <t>0036 [????]</t>
  </si>
  <si>
    <t>0037 [????]</t>
  </si>
  <si>
    <t>0038 [????]</t>
  </si>
  <si>
    <t>0039 [????]</t>
  </si>
  <si>
    <t>003A [????]</t>
  </si>
  <si>
    <t>003B [????]</t>
  </si>
  <si>
    <t>003C [????]</t>
  </si>
  <si>
    <t>003D [????]</t>
  </si>
  <si>
    <t>003E [????]</t>
  </si>
  <si>
    <t>003F [????]</t>
  </si>
  <si>
    <t>unchecked below/above here</t>
  </si>
  <si>
    <t>0300 [Tex?] Red spots</t>
  </si>
  <si>
    <t>0301 [????]</t>
  </si>
  <si>
    <t>0302 [Tex?] Purple spots</t>
  </si>
  <si>
    <t>0303 [????]</t>
  </si>
  <si>
    <t>0304 [Tex?] red and pink squares</t>
  </si>
  <si>
    <t>0305 [????]</t>
  </si>
  <si>
    <t>0306 [????]</t>
  </si>
  <si>
    <t>0307 [????]</t>
  </si>
  <si>
    <t>0308 [????]</t>
  </si>
  <si>
    <t>0309 [????]</t>
  </si>
  <si>
    <t>030A [????]</t>
  </si>
  <si>
    <t>030B [????]</t>
  </si>
  <si>
    <t>030C [????]</t>
  </si>
  <si>
    <t>030D [????]</t>
  </si>
  <si>
    <t>030E [????]</t>
  </si>
  <si>
    <t>030F [????]</t>
  </si>
  <si>
    <t>0310 [????]</t>
  </si>
  <si>
    <t>0311 [????]</t>
  </si>
  <si>
    <t>0312 [????]</t>
  </si>
  <si>
    <t>0313 [????]</t>
  </si>
  <si>
    <t>0314 [????]</t>
  </si>
  <si>
    <t>0315 [????]</t>
  </si>
  <si>
    <t>0316 [????]</t>
  </si>
  <si>
    <t>0317 [????]</t>
  </si>
  <si>
    <t>0318 [????]</t>
  </si>
  <si>
    <t>0319 [????]</t>
  </si>
  <si>
    <t>031A [????]</t>
  </si>
  <si>
    <t>031B [????]</t>
  </si>
  <si>
    <t>031C [????]</t>
  </si>
  <si>
    <t>031D [????]</t>
  </si>
  <si>
    <t>031E [????]</t>
  </si>
  <si>
    <t>031F [????]</t>
  </si>
  <si>
    <t>0320 [????]</t>
  </si>
  <si>
    <t>0321 [????]</t>
  </si>
  <si>
    <t>0322 [????]</t>
  </si>
  <si>
    <t>0323 [????]</t>
  </si>
  <si>
    <t>0324 [????]</t>
  </si>
  <si>
    <t>0325 [????]</t>
  </si>
  <si>
    <t>0326 [????]</t>
  </si>
  <si>
    <t>0327 [????]</t>
  </si>
  <si>
    <t>0328 [????]</t>
  </si>
  <si>
    <t>0329 [????]</t>
  </si>
  <si>
    <t>032A [????]</t>
  </si>
  <si>
    <t>032B [????]</t>
  </si>
  <si>
    <t>032C [????]</t>
  </si>
  <si>
    <t>032D [????]</t>
  </si>
  <si>
    <t>032E [????]</t>
  </si>
  <si>
    <t>032F [????]</t>
  </si>
  <si>
    <t>0330 [????]</t>
  </si>
  <si>
    <t>0331 [????]</t>
  </si>
  <si>
    <t>0332 [????]</t>
  </si>
  <si>
    <t>0333 [????]</t>
  </si>
  <si>
    <t>0334 [????]</t>
  </si>
  <si>
    <t>0335 [????]</t>
  </si>
  <si>
    <t>0336 [????]</t>
  </si>
  <si>
    <t>0337 [????]</t>
  </si>
  <si>
    <t>0338 [????]</t>
  </si>
  <si>
    <t>0339 [????]</t>
  </si>
  <si>
    <t>033A [????]</t>
  </si>
  <si>
    <t>033B [????]</t>
  </si>
  <si>
    <t>033C [????]</t>
  </si>
  <si>
    <t>033D [????]</t>
  </si>
  <si>
    <t>033E [????]</t>
  </si>
  <si>
    <t>033F [????]</t>
  </si>
  <si>
    <t>0340 [????]</t>
  </si>
  <si>
    <t>0341 [????]</t>
  </si>
  <si>
    <t>0342 [????]</t>
  </si>
  <si>
    <t>0343 [????]</t>
  </si>
  <si>
    <t>0344 [????]</t>
  </si>
  <si>
    <t>0345 [????]</t>
  </si>
  <si>
    <t>0346 [????]</t>
  </si>
  <si>
    <t>0347 [????]</t>
  </si>
  <si>
    <t>0348 [????]</t>
  </si>
  <si>
    <t>0349 [????]</t>
  </si>
  <si>
    <t>034A [????]</t>
  </si>
  <si>
    <t>034B [????]</t>
  </si>
  <si>
    <t>034C [????]</t>
  </si>
  <si>
    <t>034D [????]</t>
  </si>
  <si>
    <t>034E [????]</t>
  </si>
  <si>
    <t>034F [????]</t>
  </si>
  <si>
    <t>0350 [????]</t>
  </si>
  <si>
    <t>0351 [????]</t>
  </si>
  <si>
    <t>0352 [????]</t>
  </si>
  <si>
    <t>0353 [????]</t>
  </si>
  <si>
    <t>0354 [????]</t>
  </si>
  <si>
    <t>0355 [????]</t>
  </si>
  <si>
    <t>0356 [????]</t>
  </si>
  <si>
    <t>0357 [????]</t>
  </si>
  <si>
    <t>0358 [????]</t>
  </si>
  <si>
    <t>0359 [????]</t>
  </si>
  <si>
    <t>035A [????]</t>
  </si>
  <si>
    <t>035B [????]</t>
  </si>
  <si>
    <t>035C [????]</t>
  </si>
  <si>
    <t>035D [????]</t>
  </si>
  <si>
    <t>035E [????]</t>
  </si>
  <si>
    <t>035F [Tex ] White 0</t>
  </si>
  <si>
    <t>0360 [Tex ]</t>
  </si>
  <si>
    <t>0361 [Tex ]</t>
  </si>
  <si>
    <t>0362 [Tex ]</t>
  </si>
  <si>
    <t>0363 [Tex ]</t>
  </si>
  <si>
    <t>0364 [Tex ]</t>
  </si>
  <si>
    <t>0365 [Tex ]</t>
  </si>
  <si>
    <t>0366 [Tex ]</t>
  </si>
  <si>
    <t>0367 [Tex ]</t>
  </si>
  <si>
    <t>0368 [Tex ]</t>
  </si>
  <si>
    <t>0369 [Tex ]</t>
  </si>
  <si>
    <t>036A [Tex ]</t>
  </si>
  <si>
    <t>036B [Tex ]</t>
  </si>
  <si>
    <t>036C [Tex ]</t>
  </si>
  <si>
    <t>036D [Tex ]</t>
  </si>
  <si>
    <t>036E [Tex ]</t>
  </si>
  <si>
    <t>036F [Tex ] 1 (pins?)</t>
  </si>
  <si>
    <t>0370 [Tex ] 2</t>
  </si>
  <si>
    <t>0371 [Tex ] 3</t>
  </si>
  <si>
    <t>0372 [Tex ]</t>
  </si>
  <si>
    <t>0373 [Tex ] Blue 0</t>
  </si>
  <si>
    <t>0375 [Tex ] Blue 1</t>
  </si>
  <si>
    <t>0377 [Tex ] Blue 2</t>
  </si>
  <si>
    <t>0379 [Tex ] Blue 3</t>
  </si>
  <si>
    <t>037B [Tex ] Blue 4</t>
  </si>
  <si>
    <t>037D [Tex ] Blue 5</t>
  </si>
  <si>
    <t>037F [Tex ] Blue 6</t>
  </si>
  <si>
    <t>0381 [Tex ] Blue 7</t>
  </si>
  <si>
    <t>0383 [Tex ] Blue 8</t>
  </si>
  <si>
    <t>0385 [Tex ] Blue 9</t>
  </si>
  <si>
    <t>0387 [Tex ] White 0</t>
  </si>
  <si>
    <t>0389 [Tex ] White 1</t>
  </si>
  <si>
    <t>038B [Tex ] White 2</t>
  </si>
  <si>
    <t>038D [Tex ] White 3</t>
  </si>
  <si>
    <t>038F [Tex ] White 4</t>
  </si>
  <si>
    <t>0391 [Tex ] White 5</t>
  </si>
  <si>
    <t>0393 [Tex ] White 6</t>
  </si>
  <si>
    <t>0395 [Tex ] White 7</t>
  </si>
  <si>
    <t>0397 [Tex ] White 8</t>
  </si>
  <si>
    <t>0399 [Tex ] White 9</t>
  </si>
  <si>
    <t>039A [Tex ] Combo Meter 1</t>
  </si>
  <si>
    <t>039B [Tex ] Combo Meter 2</t>
  </si>
  <si>
    <t>039C [Tex ] Combo Meter 3</t>
  </si>
  <si>
    <t>039D [Tex ] Combo Meter 4</t>
  </si>
  <si>
    <t>039E [Tex ] Combo Meter 5</t>
  </si>
  <si>
    <t>039F [Tex ] Combo Meter 6</t>
  </si>
  <si>
    <t>03A0 [Tex ] Combo Meter 7</t>
  </si>
  <si>
    <t>03A1 [Tex ] Combo Meter 8</t>
  </si>
  <si>
    <t>03A2 [Tex ] Combo Meter 9</t>
  </si>
  <si>
    <t>03A3 [Tex ] Combo Meter 10</t>
  </si>
  <si>
    <t>03A4 [Tex ] Combo Meter 1</t>
  </si>
  <si>
    <t>03A5 [Tex ] Combo Meter 2</t>
  </si>
  <si>
    <t>03A6 [Tex ] Combo Meter 3</t>
  </si>
  <si>
    <t>03A7 [Tex ] Combo Meter 4</t>
  </si>
  <si>
    <t>03A8 [Tex ] Combo Meter 5</t>
  </si>
  <si>
    <t>03A9 [Tex ] Combo Meter 6</t>
  </si>
  <si>
    <t>03AA [Tex ] Combo Meter 7</t>
  </si>
  <si>
    <t>03AB [Tex ] Combo Meter 8</t>
  </si>
  <si>
    <t>03AC [Tex ] Combo Meter 9</t>
  </si>
  <si>
    <t>03AD [Tex ] Combo Meter 10</t>
  </si>
  <si>
    <t>03AE [Tex?]</t>
  </si>
  <si>
    <t>03AF [Tex ] Red and Gray ??</t>
  </si>
  <si>
    <t>03B0 [Tex?] bluish</t>
  </si>
  <si>
    <t>03B1 [Tex?] Dark with patterns</t>
  </si>
  <si>
    <t>03B2 [Tex?]</t>
  </si>
  <si>
    <t>03B3 [Tex?] lighter blue patterns</t>
  </si>
  <si>
    <t>03B4 [Tex?] flat brown</t>
  </si>
  <si>
    <t>03B5 [Tex?] really dark brown with wrinkles</t>
  </si>
  <si>
    <t>03B6 [Tex?]</t>
  </si>
  <si>
    <t>03B7 [Tex?] brownish</t>
  </si>
  <si>
    <t>03B8 [Tex?] like 03BC</t>
  </si>
  <si>
    <t>03B9 [Tex?] black with less lines</t>
  </si>
  <si>
    <t>03BA [Tex?]</t>
  </si>
  <si>
    <t>03BB [Tex?] green with patterns</t>
  </si>
  <si>
    <t>03BC [Tex?] black vertical lines</t>
  </si>
  <si>
    <t>03BD [Tex?] darker version of 03C0</t>
  </si>
  <si>
    <t>03BE [Tex?] lights?</t>
  </si>
  <si>
    <t>03BF [Tex?] tan with shading</t>
  </si>
  <si>
    <t>03C0 [Tex?] gray patterns (upper costume A1 stomach)</t>
  </si>
  <si>
    <t>03C1 [Tex ] Meter?</t>
  </si>
  <si>
    <t>03C2 [Tex?] (stretchy metal as ringmat tex)</t>
  </si>
  <si>
    <t>03C3 [Tex ] Player 1 Spirit Meter Frame Real?</t>
  </si>
  <si>
    <t>03C4 [Tex ] Player 1 Spirit Meter Frame Alpha?</t>
  </si>
  <si>
    <t>03C5 [Tex?]</t>
  </si>
  <si>
    <t>03C6 [Tex ] Player 2 Spirit Meter Frame</t>
  </si>
  <si>
    <t>03C7 [Tex?]</t>
  </si>
  <si>
    <t>03C8 [Tex?]</t>
  </si>
  <si>
    <t>03C9 [Tex?]</t>
  </si>
  <si>
    <t>03CA [Tex ] Computer Spirit Meter Frame</t>
  </si>
  <si>
    <t>03CC [Tex ] Super Special text</t>
  </si>
  <si>
    <t>03CE [Tex ] Special text</t>
  </si>
  <si>
    <t>03D0 [Tex ] Blue Danger text</t>
  </si>
  <si>
    <t>03D1 [Tex ] Eliminated (from Revenge) 2</t>
  </si>
  <si>
    <t>03D2 [Tex ] Eliminated (from Revenge) 2</t>
  </si>
  <si>
    <t>03D4 [Tex ] 5 Minutes Remain 1</t>
  </si>
  <si>
    <t>03D6 [Tex ] 5 Minutes Remain 2</t>
  </si>
  <si>
    <t>03D8 [Tex ] 1 Minute Remains 1</t>
  </si>
  <si>
    <t>03DA [Tex ] 1 Minute Remains 2</t>
  </si>
  <si>
    <t>03DC [Tex ] 30 Seconds Remain 1</t>
  </si>
  <si>
    <t>03DE [Tex ] 30 Seconds Remain 2</t>
  </si>
  <si>
    <t>03E0 [Tex ] 10 Seconds Remain 1</t>
  </si>
  <si>
    <t>03E2 [Tex ] 10 Seconds Remain 2</t>
  </si>
  <si>
    <t>03E4 [Tex ] 5 minutes go 1</t>
  </si>
  <si>
    <t>03E6 [Tex ] 5 minutes go 2</t>
  </si>
  <si>
    <t>03E8 [Tex ] 10 minutes go 1</t>
  </si>
  <si>
    <t>03EA [Tex ] 10 minutes go 2</t>
  </si>
  <si>
    <t>03EC [Tex ] 15 minutes go 1</t>
  </si>
  <si>
    <t>03EE [Tex ] 15 minutes go 2</t>
  </si>
  <si>
    <t>03F0 [Tex ] 20 minutes go 1</t>
  </si>
  <si>
    <t>03F2 [Tex ] 20 minutes go 2</t>
  </si>
  <si>
    <t>03F4 [Tex ] 25 minutes go 1</t>
  </si>
  <si>
    <t>03F6 [Tex ] 25 minutes go 2</t>
  </si>
  <si>
    <t>03F8 [Tex ] 30 minutes go 1</t>
  </si>
  <si>
    <t>03FA [Tex ] 30 minutes go 2</t>
  </si>
  <si>
    <t>03FC [Tex ] 35 minutes go 1</t>
  </si>
  <si>
    <t>03FE [Tex ] 35 minutes go 2</t>
  </si>
  <si>
    <t>0400 [Tex ] 40 minutes go 1</t>
  </si>
  <si>
    <t>0402 [Tex ] 40 minutes go 2</t>
  </si>
  <si>
    <t>0404 [Tex ] 45 minutes go 1</t>
  </si>
  <si>
    <t>0406 [Tex ] 45 minutes go 2</t>
  </si>
  <si>
    <t>0408 [Tex ] 50 minutes go 1</t>
  </si>
  <si>
    <t>040A [Tex ] 50 minutes go 2</t>
  </si>
  <si>
    <t>040C [Tex ] 55 minutes go 1</t>
  </si>
  <si>
    <t>040E [Tex ] 55 minutes go 2</t>
  </si>
  <si>
    <r>
      <rPr>
        <sz val="11"/>
        <color rgb="FF000000"/>
        <rFont val="Calibri"/>
        <family val="2"/>
      </rPr>
      <t xml:space="preserve">0410 [Tex ] </t>
    </r>
    <r>
      <rPr>
        <sz val="11"/>
        <color rgb="FF000000"/>
        <rFont val="Microsoft YaHei"/>
        <family val="2"/>
      </rPr>
      <t xml:space="preserve">リング　イン </t>
    </r>
    <r>
      <rPr>
        <sz val="11"/>
        <color rgb="FF000000"/>
        <rFont val="Calibri"/>
        <family val="2"/>
      </rPr>
      <t>(Ring In)</t>
    </r>
  </si>
  <si>
    <t>0412 [Tex ] Replay</t>
  </si>
  <si>
    <t>0414 [Tex ] Demo</t>
  </si>
  <si>
    <t>0416 [Tex ] Red</t>
  </si>
  <si>
    <t>0418 [Tex ] 1 points</t>
  </si>
  <si>
    <t>0419 [Tex ] 2 points</t>
  </si>
  <si>
    <t>041A [Tex ] 3 points</t>
  </si>
  <si>
    <t>041B [Tex ] 4 points</t>
  </si>
  <si>
    <t>041C [Tex ] 5 points</t>
  </si>
  <si>
    <t>041D [Tex ] 6 points</t>
  </si>
  <si>
    <t>041E [Tex ] 7 points</t>
  </si>
  <si>
    <t>041F [Tex ] 8 points</t>
  </si>
  <si>
    <t>0420 [Tex ] 9 points</t>
  </si>
  <si>
    <t>0421 [Tex ] 10 points</t>
  </si>
  <si>
    <t>0422 [Tex ] 11 points</t>
  </si>
  <si>
    <t>0423 [Tex ] 12 points</t>
  </si>
  <si>
    <t>0424 [Tex ] 13 points</t>
  </si>
  <si>
    <t>0425 [Tex ] 14 points</t>
  </si>
  <si>
    <t>0426 [Tex ] 15 points</t>
  </si>
  <si>
    <t>0428 [Tex ] 2 Count 1</t>
  </si>
  <si>
    <t>042A [Tex ] 2 Count 2</t>
  </si>
  <si>
    <t>042C [Tex ] Rope Break 1</t>
  </si>
  <si>
    <t>042E [Tex ] Rope Break 2</t>
  </si>
  <si>
    <t>0430 [Tex ] Double Ring Out 1</t>
  </si>
  <si>
    <t>0432 [Tex ] Double Ring Out 2</t>
  </si>
  <si>
    <t>0434 [Tex ] Draw 1</t>
  </si>
  <si>
    <t>0436 [Tex ] Draw 2</t>
  </si>
  <si>
    <t>0438 [Tex ] 3 Count Fall 1</t>
  </si>
  <si>
    <t>043A [Tex ] 3 Count Fall 2</t>
  </si>
  <si>
    <t>043C [Tex ] Fight 1</t>
  </si>
  <si>
    <t>043E [Tex ] Fight 2</t>
  </si>
  <si>
    <t>0440 [Tex ] Fight 3</t>
  </si>
  <si>
    <t>0442 [Tex ] Fight 4</t>
  </si>
  <si>
    <t>0444 [Tex ] Give Up 1</t>
  </si>
  <si>
    <t>0446 [Tex ] Give Up 2</t>
  </si>
  <si>
    <t>0448 [Tex ] Ring Out 1</t>
  </si>
  <si>
    <t>044A [Tex ] Ring Out 2</t>
  </si>
  <si>
    <t>044C [Tex ] Time Up 1</t>
  </si>
  <si>
    <t>044E [Tex ] Time Up 2</t>
  </si>
  <si>
    <t>0450 [Tex ] TKO 1</t>
  </si>
  <si>
    <t>0452 [Tex ] TKO 2</t>
  </si>
  <si>
    <t>0454 [Tex ] Down 1</t>
  </si>
  <si>
    <t>0456 [Tex ] Down 2</t>
  </si>
  <si>
    <t>0458 [Tex ] Rope Escape 1</t>
  </si>
  <si>
    <t>045A [Tex ] Rope Escape 2</t>
  </si>
  <si>
    <t>045C [Tex ] Suplex 1</t>
  </si>
  <si>
    <t>045E [Tex ] Suplex 2</t>
  </si>
  <si>
    <t>0460 [Tex ] Round 1 #1</t>
  </si>
  <si>
    <t>0462 [Tex ] Round 1 #2</t>
  </si>
  <si>
    <t>0464 [Tex ] Round 2 #1</t>
  </si>
  <si>
    <t>0466 [Tex ] Round 2 #2</t>
  </si>
  <si>
    <t>0468 [Tex ] Round 3 #1</t>
  </si>
  <si>
    <t>046A [Tex ] Round 3 #2</t>
  </si>
  <si>
    <t>046C [Tex ] Round 4 #1</t>
  </si>
  <si>
    <t>046E [Tex ] Round 4 #2</t>
  </si>
  <si>
    <t>0470 [Tex ] Round 5 #1</t>
  </si>
  <si>
    <t>0472 [Tex ] Round 5 #2</t>
  </si>
  <si>
    <t>0474 [Tex ] Round 6 #1</t>
  </si>
  <si>
    <t>0476 [Tex ] Round 6 #2</t>
  </si>
  <si>
    <t>0478 [Tex ] Round 7 #1</t>
  </si>
  <si>
    <t>047A [Tex ] Round 7 #2</t>
  </si>
  <si>
    <t>047C [Tex ] Round 8 #1</t>
  </si>
  <si>
    <t>047E [Tex ] Round 8 #2</t>
  </si>
  <si>
    <t>0480 [Tex ] Round 9 #1</t>
  </si>
  <si>
    <t>0482 [Tex ] Round 9 #2</t>
  </si>
  <si>
    <t>0484 [Tex ] Round 10 #1</t>
  </si>
  <si>
    <t>0486 [Tex ] Round 10 #2</t>
  </si>
  <si>
    <t>0488 [Tex ] Round 11 #1</t>
  </si>
  <si>
    <t>048A [Tex ] Round 11 #2</t>
  </si>
  <si>
    <t>048C [Tex ] Round 12 #1</t>
  </si>
  <si>
    <t>048E [Tex ] Round 12 #2</t>
  </si>
  <si>
    <t>0490 [Tex ] Round 13 #1</t>
  </si>
  <si>
    <t>0492 [Tex ] Round 13 #2</t>
  </si>
  <si>
    <t>0494 [Tex ] Round 14 #1</t>
  </si>
  <si>
    <t>0496 [Tex ] Round 14 #2</t>
  </si>
  <si>
    <t>0498 [Tex ] Final Round #1</t>
  </si>
  <si>
    <t>049A [Tex ] Final Round #2</t>
  </si>
  <si>
    <t>049C [Tex ] -1 Point #1</t>
  </si>
  <si>
    <t>049E [Tex ] -1 Point #2</t>
  </si>
  <si>
    <t>04A0 [Tex ] -2 Points #1</t>
  </si>
  <si>
    <t>04A2 [Tex ] -2 Points #2</t>
  </si>
  <si>
    <t>04A4 [Tex ] -3 Points #1</t>
  </si>
  <si>
    <t>04A6 [Tex ] -3 Points #2</t>
  </si>
  <si>
    <t>unchecked region</t>
  </si>
  <si>
    <t>0500 [Tex ] part of ref?</t>
  </si>
  <si>
    <t>...</t>
  </si>
  <si>
    <t>0512 [Tex ] part of ref?</t>
  </si>
  <si>
    <t>0516 [Tex?] Blue, Black, White pattern</t>
  </si>
  <si>
    <t>0517 [Tex?] Red, Black, White pattern</t>
  </si>
  <si>
    <t>0518 [Tex?] Green pattern</t>
  </si>
  <si>
    <r>
      <rPr>
        <sz val="11"/>
        <color rgb="FF000000"/>
        <rFont val="Calibri"/>
        <family val="2"/>
      </rPr>
      <t xml:space="preserve">0519 [Tex ] </t>
    </r>
    <r>
      <rPr>
        <sz val="11"/>
        <color rgb="FF000000"/>
        <rFont val="Microsoft YaHei"/>
        <family val="2"/>
      </rPr>
      <t xml:space="preserve">ポーズ </t>
    </r>
    <r>
      <rPr>
        <sz val="11"/>
        <color rgb="FF000000"/>
        <rFont val="Calibri"/>
        <family val="2"/>
      </rPr>
      <t>(Pause)</t>
    </r>
  </si>
  <si>
    <t>051A [Tex ] (Controller 1)</t>
  </si>
  <si>
    <t>051B [Tex ] (Controller 2)</t>
  </si>
  <si>
    <t>051C [Tex ] (Controller 3)</t>
  </si>
  <si>
    <t>051D [Tex ] (Controller 4)</t>
  </si>
  <si>
    <t>051E [Tex?]</t>
  </si>
  <si>
    <t>051F [Tex ] japanese text</t>
  </si>
  <si>
    <t>0520 [Tex ] japanese text</t>
  </si>
  <si>
    <t>0521 [Tex ] (Skip)</t>
  </si>
  <si>
    <t>0522 [Tex ] japanese text</t>
  </si>
  <si>
    <t>0523 [Tex ] (Referee Display)</t>
  </si>
  <si>
    <t>0524 [Tex ] japanese text</t>
  </si>
  <si>
    <t>0525 [Tex ] japanese text</t>
  </si>
  <si>
    <t>0526 [Tex ] japanese text</t>
  </si>
  <si>
    <r>
      <rPr>
        <sz val="11"/>
        <color rgb="FF000000"/>
        <rFont val="Calibri"/>
        <family val="2"/>
      </rPr>
      <t xml:space="preserve">0527 [Tex ] </t>
    </r>
    <r>
      <rPr>
        <sz val="11"/>
        <color rgb="FF000000"/>
        <rFont val="Microsoft YaHei"/>
        <family val="2"/>
      </rPr>
      <t xml:space="preserve">リプレイ なし </t>
    </r>
    <r>
      <rPr>
        <sz val="11"/>
        <color rgb="FF000000"/>
        <rFont val="Calibri"/>
        <family val="2"/>
      </rPr>
      <t>(Replay 1)</t>
    </r>
  </si>
  <si>
    <r>
      <rPr>
        <sz val="11"/>
        <color rgb="FF000000"/>
        <rFont val="Calibri"/>
        <family val="2"/>
      </rPr>
      <t xml:space="preserve">0528 [Tex ] </t>
    </r>
    <r>
      <rPr>
        <sz val="11"/>
        <color rgb="FF000000"/>
        <rFont val="Microsoft YaHei"/>
        <family val="2"/>
      </rPr>
      <t xml:space="preserve">リプレイ </t>
    </r>
    <r>
      <rPr>
        <sz val="11"/>
        <color rgb="FF000000"/>
        <rFont val="Calibri"/>
        <family val="2"/>
      </rPr>
      <t>(Replay 2)</t>
    </r>
  </si>
  <si>
    <t>0529 [Tex ] japanese text</t>
  </si>
  <si>
    <t>052A [Tex ] japanese text</t>
  </si>
  <si>
    <t>052B [Tex ] japanese text</t>
  </si>
  <si>
    <t>052C [Tex ] japanese text</t>
  </si>
  <si>
    <t>052D [Tex ] japanese text</t>
  </si>
  <si>
    <t>052E [Tex ] japanese text</t>
  </si>
  <si>
    <t>052F [Tex ] japanese text</t>
  </si>
  <si>
    <r>
      <rPr>
        <sz val="11"/>
        <color rgb="FF000000"/>
        <rFont val="Calibri"/>
        <family val="2"/>
      </rPr>
      <t xml:space="preserve">0530 [Tex ] </t>
    </r>
    <r>
      <rPr>
        <sz val="11"/>
        <color rgb="FF000000"/>
        <rFont val="Microsoft YaHei"/>
        <family val="2"/>
      </rPr>
      <t xml:space="preserve">はい </t>
    </r>
    <r>
      <rPr>
        <sz val="11"/>
        <color rgb="FF000000"/>
        <rFont val="Calibri"/>
        <family val="2"/>
      </rPr>
      <t>(Yes)</t>
    </r>
  </si>
  <si>
    <r>
      <rPr>
        <sz val="11"/>
        <color rgb="FF000000"/>
        <rFont val="Calibri"/>
        <family val="2"/>
      </rPr>
      <t xml:space="preserve">0531 [Tex ] </t>
    </r>
    <r>
      <rPr>
        <sz val="11"/>
        <color rgb="FF000000"/>
        <rFont val="Microsoft YaHei"/>
        <family val="2"/>
      </rPr>
      <t xml:space="preserve">いいえ </t>
    </r>
    <r>
      <rPr>
        <sz val="11"/>
        <color rgb="FF000000"/>
        <rFont val="Calibri"/>
        <family val="2"/>
      </rPr>
      <t>(No)</t>
    </r>
  </si>
  <si>
    <t>0532 [????]</t>
  </si>
  <si>
    <t>0533 [Tex ] blue A button</t>
  </si>
  <si>
    <t>0534 [Tex?] another bar graphic?</t>
  </si>
  <si>
    <t>0535 [Tex ] green B button, red Start button</t>
  </si>
  <si>
    <t>0536 [????]</t>
  </si>
  <si>
    <t>0537 [Tex ] Up and Down arrows</t>
  </si>
  <si>
    <t>0538 [Tex ] HP, WP, HD, BD... that display that was also found in No Mercy.</t>
  </si>
  <si>
    <t>0539 [????]</t>
  </si>
  <si>
    <t>053A [Tex?] black dot(s)?</t>
  </si>
  <si>
    <t>053B [Tex ] colored N64 controller</t>
  </si>
  <si>
    <t>053C [XXX?] (freezes as ring mat polygon)</t>
  </si>
  <si>
    <t>053D [Poly] Pole</t>
  </si>
  <si>
    <t>053E [Tex?] Blackish</t>
  </si>
  <si>
    <t>053F [????] (oh god if you use this as the ring mat polygon LOL fuck)</t>
  </si>
  <si>
    <t>0540 [Poly] Turnbuckle Link</t>
  </si>
  <si>
    <t>0541 [Tex ] Turnbuckle Link</t>
  </si>
  <si>
    <t>0542 [????]</t>
  </si>
  <si>
    <t>0543 [Tex?] (when used at 8004479A [Upper Costume B13])</t>
  </si>
  <si>
    <t>0544 [Tex ] Red curtain</t>
  </si>
  <si>
    <t>0545 [Tex?] flat dark blue</t>
  </si>
  <si>
    <t>0546 [Tex ] White Pole</t>
  </si>
  <si>
    <t>0547 [Tex ] Pole Generic?</t>
  </si>
  <si>
    <t>0548 [Tex?] Ropes/grate?</t>
  </si>
  <si>
    <t>0549 [Poly] {Korakuen} Outside Top Left</t>
  </si>
  <si>
    <t>054A [Poly] {Korakuen} Outside Bottom Right</t>
  </si>
  <si>
    <t>054B [Poly] {Korakuen} Outside Bottom Left</t>
  </si>
  <si>
    <t>054C [Poly] {Korakuen} Outside Top Right</t>
  </si>
  <si>
    <t>054D [Poly] {Korakuen} Ring Mat</t>
  </si>
  <si>
    <t>054D [Poly] {Korakuen} 2nd Ring Mat</t>
  </si>
  <si>
    <t>054F [Poly] {Korakuen} Ring Apron Front</t>
  </si>
  <si>
    <t>0550 [Poly] {Korakuen} Ring Apron Right</t>
  </si>
  <si>
    <t>0551 [Poly] {Korakuen} Ring Apron Top</t>
  </si>
  <si>
    <t>0552 [Poly] {Korakuen} Ring Apron Left</t>
  </si>
  <si>
    <t>0553 [Poly] {Korakuen} Outside Left</t>
  </si>
  <si>
    <t>0554 [Poly] {Korakuen} Outside Top</t>
  </si>
  <si>
    <t>0555 [Poly] {Korakuen} Outside Right</t>
  </si>
  <si>
    <t>0556 [Poly] {Korakuen} Outside Bottom</t>
  </si>
  <si>
    <t>0557 [Tex?]</t>
  </si>
  <si>
    <t>0558 [Tex ] {Korakuen?} more lights</t>
  </si>
  <si>
    <t>0559 [Tex?]</t>
  </si>
  <si>
    <t>055A [Tex?]</t>
  </si>
  <si>
    <t>055B [Tex ] Star lighting</t>
  </si>
  <si>
    <t>055C [????] (crashes as ring mat polygon)</t>
  </si>
  <si>
    <t>055D [????]</t>
  </si>
  <si>
    <t>055E [????]</t>
  </si>
  <si>
    <t>055F [Tex ] Some arms</t>
  </si>
  <si>
    <t>0561 [Tex ] Some arms</t>
  </si>
  <si>
    <t>0563 [Tex ] Normal Guardrail</t>
  </si>
  <si>
    <t>0564 [????]</t>
  </si>
  <si>
    <t>0565 [Tex?] Red ?</t>
  </si>
  <si>
    <t>0567 [Tex?] Yellow ?</t>
  </si>
  <si>
    <t>0568 [????]</t>
  </si>
  <si>
    <t>0569 [????]</t>
  </si>
  <si>
    <t>056A [????]</t>
  </si>
  <si>
    <t>056B [????]</t>
  </si>
  <si>
    <t>056C [????]</t>
  </si>
  <si>
    <t>056D [????]</t>
  </si>
  <si>
    <t>056E [????]</t>
  </si>
  <si>
    <t>056F [????]</t>
  </si>
  <si>
    <t>0570 [????]</t>
  </si>
  <si>
    <t>0571 [Poly] Lower Left Bottom Guardrail</t>
  </si>
  <si>
    <t>0572 [Poly] Lower Right Bottom Guardrail</t>
  </si>
  <si>
    <t>0573 [Poly] Guardrail</t>
  </si>
  <si>
    <t>0574 [Poly] Guardrail</t>
  </si>
  <si>
    <t>0575 [Poly] Lower Right Top Guardrail</t>
  </si>
  <si>
    <t>0576 [Poly] Upper Right Bottom Guardrail</t>
  </si>
  <si>
    <t>0577 [Poly] Guardrail ??</t>
  </si>
  <si>
    <t>0578 [Poly] Guardrail ??</t>
  </si>
  <si>
    <t>0579 [Poly] Guardrail ??</t>
  </si>
  <si>
    <t>057A [Poly] Guardrail ??</t>
  </si>
  <si>
    <t>057B [Poly] Guardrail ??</t>
  </si>
  <si>
    <t>057C [Poly] Guardrail ??</t>
  </si>
  <si>
    <t>057D [Poly] Guardrail ??</t>
  </si>
  <si>
    <t>057E [Poly] Guardrail ??</t>
  </si>
  <si>
    <t>057F [Poly] Guardrail ??</t>
  </si>
  <si>
    <t>0580 [Poly] Guardrail ??</t>
  </si>
  <si>
    <t>0581 [Tex ] Crowd</t>
  </si>
  <si>
    <t>0583 [Tex ]</t>
  </si>
  <si>
    <t>0585 [Tex ]</t>
  </si>
  <si>
    <t>0587 [Tex ]</t>
  </si>
  <si>
    <t>0589 [Tex ]</t>
  </si>
  <si>
    <t>058A</t>
  </si>
  <si>
    <t>058B [Tex ]</t>
  </si>
  <si>
    <t>058C</t>
  </si>
  <si>
    <t>058D [Tex ]</t>
  </si>
  <si>
    <t>058E</t>
  </si>
  <si>
    <t>058F [Tex ]</t>
  </si>
  <si>
    <t>059A</t>
  </si>
  <si>
    <t>059B</t>
  </si>
  <si>
    <t>059C</t>
  </si>
  <si>
    <t>059D</t>
  </si>
  <si>
    <t>059E</t>
  </si>
  <si>
    <t>059F</t>
  </si>
  <si>
    <t>05A0</t>
  </si>
  <si>
    <t>05A1</t>
  </si>
  <si>
    <t>05A2</t>
  </si>
  <si>
    <t>05A3</t>
  </si>
  <si>
    <t>05A4 [Tex ] Korakuen Entrance Ramp Floor</t>
  </si>
  <si>
    <t>05A5 [Tex?] Solid dark green</t>
  </si>
  <si>
    <t>05A6 [Tex ] Blue Outside Mat</t>
  </si>
  <si>
    <t>05A7 [Tex?] odd pink lines</t>
  </si>
  <si>
    <t>05A8 [Tex ] Ring Mat (Korakuen/Budokan)</t>
  </si>
  <si>
    <t>05A9 [????]</t>
  </si>
  <si>
    <t>05AA [Tex ] Ring Skirt (Korakuen/Budokan)</t>
  </si>
  <si>
    <t>05AC [????]</t>
  </si>
  <si>
    <t>05AD [????]</t>
  </si>
  <si>
    <t>05AE [????]</t>
  </si>
  <si>
    <t>05AF [????]</t>
  </si>
  <si>
    <t>05B0 [????]</t>
  </si>
  <si>
    <t>05B1 [????]</t>
  </si>
  <si>
    <t>05B2 [????]</t>
  </si>
  <si>
    <t>05B3 [????]</t>
  </si>
  <si>
    <t>05B4 [????]</t>
  </si>
  <si>
    <t>05B5 [????]</t>
  </si>
  <si>
    <t>05B6 [Poly] {Korakuen} Front Row Crowd</t>
  </si>
  <si>
    <t>05B7 [Poly] {Korakuen} Front Row Crowd</t>
  </si>
  <si>
    <t>05B8 [Poly] {Korakuen} Crowd ?2</t>
  </si>
  <si>
    <t>05B9 [Poly] {Korakuen} Crowd ?1</t>
  </si>
  <si>
    <t>05BA [Poly] {Korakuen} Front Row Crowd</t>
  </si>
  <si>
    <t>05BB [Poly] {Korakuen} Front Row Crowd</t>
  </si>
  <si>
    <t>05BC [Poly] {Korakuen} Distant Crowd</t>
  </si>
  <si>
    <t>05BD [Poly] {Korakuen} Distant Crowd</t>
  </si>
  <si>
    <t>05BE [Poly] {Korakuen} Distant Crowd</t>
  </si>
  <si>
    <t>05BF [Poly] {Korakuen} Distant Crowd</t>
  </si>
  <si>
    <t>05C8 [Poly] {Korakuen} ? Wall</t>
  </si>
  <si>
    <t>05CF [Poly] {Korakuen} Distant Crowd</t>
  </si>
  <si>
    <t>05D0 [Poly] {Korakuen} Distant Crowd</t>
  </si>
  <si>
    <t>05D1 [Poly] {Korakuen} Wall Light w/Green</t>
  </si>
  <si>
    <t>05F2 [Tex ] ? Wall</t>
  </si>
  <si>
    <t>05FC [Tex ] "West" Kanji</t>
  </si>
  <si>
    <t>0601 [????]</t>
  </si>
  <si>
    <t>060C [Tex ] Dull Spotlight</t>
  </si>
  <si>
    <t>060E [Tex ] Starburst Light</t>
  </si>
  <si>
    <t>0610 [Tex ] Pink Circle</t>
  </si>
  <si>
    <t>0612 [Tex ] Gray Spotlight</t>
  </si>
  <si>
    <t>0614 [Tex ] Dull Brownish Spotlight</t>
  </si>
  <si>
    <t>0616 [Tex ] Blue Light Grid</t>
  </si>
  <si>
    <t>0618 [Tex ] Dark Blue Light Grid</t>
  </si>
  <si>
    <t>061A [Tex ] Blue Circle</t>
  </si>
  <si>
    <t>061C [Tex?] Flat Blue</t>
  </si>
  <si>
    <t>062C [Tex ] Front Row Crowd 1?</t>
  </si>
  <si>
    <t>062E [Tex ] Front Row Crowd 2?</t>
  </si>
  <si>
    <t>0630 [Tex ] Crowd ?2</t>
  </si>
  <si>
    <t>0632 [Tex ] Crowd ?1</t>
  </si>
  <si>
    <t>0634 [Tex ] Middle Crowd 2?</t>
  </si>
  <si>
    <t>0636 [Tex ] Distant Crowd 1?</t>
  </si>
  <si>
    <t>0638 [Tex ] Distant Crowd 2?</t>
  </si>
  <si>
    <t>063A [Tex ] more crowd ?</t>
  </si>
  <si>
    <t>063C [Tex ] more crowd ?</t>
  </si>
  <si>
    <t>063E [Tex ] more crowd ?</t>
  </si>
  <si>
    <t>0640 [Tex ] more crowd ?</t>
  </si>
  <si>
    <t>0642 [Tex ] more crowd ?</t>
  </si>
  <si>
    <t>0644 [Tex ] more crowd ?</t>
  </si>
  <si>
    <t>0646 [Tex ] more crowd ?</t>
  </si>
  <si>
    <t>0648 [Tex ] Upper Deck Guardrail</t>
  </si>
  <si>
    <t>064A [Tex ] ?2 Wall</t>
  </si>
  <si>
    <t>064C [Tex ] ?1 Wall</t>
  </si>
  <si>
    <t>064E [Tex ] Back Wall w/Crowd &amp; Light</t>
  </si>
  <si>
    <t>0650 [Tex ] ?3 Wall</t>
  </si>
  <si>
    <t>0652 [Tex ] Side Curtain</t>
  </si>
  <si>
    <t>0654 [Tex ] "East" Kanji</t>
  </si>
  <si>
    <t>0656 [Tex ] Upper Deck Crowd 1?</t>
  </si>
  <si>
    <t>0658 [Tex ] Upper Deck Crowd 2?</t>
  </si>
  <si>
    <t>065A [Tex ] Wall With Light</t>
  </si>
  <si>
    <t>065C [Poly] {Korakuen} "West" Kanji</t>
  </si>
  <si>
    <t>065D [Poly] {Korakuen} Middle Crowd</t>
  </si>
  <si>
    <t>065D [Poly] {Korakuen} (Behind Middle Crowd)</t>
  </si>
  <si>
    <t>065E [Poly] {Korakuen} Front Row Crowd</t>
  </si>
  <si>
    <t>065F [Poly] {Korakuen} Front Row Crowd</t>
  </si>
  <si>
    <t>0660 [Poly] {Korakuen} Crowd ?2</t>
  </si>
  <si>
    <t>0661 [Poly] {Korakuen} Crowd ?1</t>
  </si>
  <si>
    <t>0662 [Poly] {Korakuen} Distant Crowd</t>
  </si>
  <si>
    <t>0663 [Poly] {Korakuen} Upper Deck Guardrail</t>
  </si>
  <si>
    <t>0664 [Poly] {Korakuen} Upper Deck Guardrail</t>
  </si>
  <si>
    <t>0665 [Poly] {Korakuen} ?2 Wall</t>
  </si>
  <si>
    <t>0666 [Poly] {Korakuen} ?1 Wall</t>
  </si>
  <si>
    <t>0667 [Poly] {Korakuen} Back Wall w/Crowd &amp; Light</t>
  </si>
  <si>
    <t>0668 [Poly] {Korakuen} ?3 Wall</t>
  </si>
  <si>
    <t>0669 [Poly] {Korakuen} Side Curtain</t>
  </si>
  <si>
    <t>066A [Poly] {Korakuen} Upper Deck Crowd</t>
  </si>
  <si>
    <t>066B [Poly] {Korakuen} Upper Deck Crowd</t>
  </si>
  <si>
    <t>066C [Poly] {Korakuen} Wall With Light</t>
  </si>
  <si>
    <t>066D [Poly] {Korakuen} Middle Crowd</t>
  </si>
  <si>
    <t>066D [Poly] {Korakuen} (Behind Middle Crowd)</t>
  </si>
  <si>
    <t>066E [Poly] {Korakuen} Middle Crowd</t>
  </si>
  <si>
    <t>066F [Poly] {Korakuen} Front Row Crowd</t>
  </si>
  <si>
    <t>0670 [Poly] {Korakuen} Front Row Crowd</t>
  </si>
  <si>
    <t>0671 [Poly] {Korakuen} Crowd ?2</t>
  </si>
  <si>
    <t>0672 [Poly] {Korakuen} Crowd ?1</t>
  </si>
  <si>
    <t>0673 [Poly] {Korakuen} "East" Kanji</t>
  </si>
  <si>
    <t>0674 [Poly] {Korakuen} Middle Crowd</t>
  </si>
  <si>
    <t>0674 [Poly] {Korakuen} (Behind Middle Crowd)</t>
  </si>
  <si>
    <t>0675 [Poly] {Korakuen} Distant Crowd</t>
  </si>
  <si>
    <t>0676 [Poly] {Korakuen} Upper Deck Guardrail</t>
  </si>
  <si>
    <t>0677 [Poly] {Korakuen} Upper Deck Guardrail</t>
  </si>
  <si>
    <t>0678 [Poly] {Korakuen} ?2 Wall</t>
  </si>
  <si>
    <t>0679 [Poly] {Korakuen} ?1 Wall</t>
  </si>
  <si>
    <t>067A [Poly] {Korakuen} Back Wall w/Crowd &amp; Light</t>
  </si>
  <si>
    <t>067B [Poly] {Korakuen} ?3 Wall</t>
  </si>
  <si>
    <t>067C [Poly] {Korakuen} Side Curtain</t>
  </si>
  <si>
    <t>067D [Poly] {Korakuen} Upper Deck Crowd</t>
  </si>
  <si>
    <t>067E [Poly] {Korakuen} Upper Deck Crowd</t>
  </si>
  <si>
    <t>067F [Poly] {Korakuen} Wall With Light</t>
  </si>
  <si>
    <t>0680 [Poly] {Korakuen} (Behind Middle Crowd)</t>
  </si>
  <si>
    <t>0680 [Poly] {Korakuen} Middle Crowd</t>
  </si>
  <si>
    <t>0681 [Poly] {Korakuen} Middle Crowd</t>
  </si>
  <si>
    <t>0682 [Poly] {Korakuen} Front Row Crowd</t>
  </si>
  <si>
    <t>0683 [Poly] {Korakuen} Front Row Crowd</t>
  </si>
  <si>
    <t>0684 [Poly] {Korakuen} Crowd ?2</t>
  </si>
  <si>
    <t>0685 [Poly] {Korakuen} Crowd ?1</t>
  </si>
  <si>
    <t>0686 [Poly] {Korakuen} Distant Crowd</t>
  </si>
  <si>
    <t>0687 [Tex ] Floor Mat</t>
  </si>
  <si>
    <t>0688 [????]</t>
  </si>
  <si>
    <t>0689 [Tex ] Green Floor 1</t>
  </si>
  <si>
    <t>068A [????]</t>
  </si>
  <si>
    <t>068B [Tex ] Fans</t>
  </si>
  <si>
    <t>068D [Tex ] Fans</t>
  </si>
  <si>
    <t>068F [Tex ] Fans</t>
  </si>
  <si>
    <t>0691 [Tex ] Fans</t>
  </si>
  <si>
    <t>0693 [Tex ] Deep fans</t>
  </si>
  <si>
    <t>0695 [Tex ] Deep fans</t>
  </si>
  <si>
    <t>0697 [Tex ] Crowd + Wall 1</t>
  </si>
  <si>
    <t>0699 [Tex ] Crowd + Wall 2</t>
  </si>
  <si>
    <t>069B [Tex ] Budokan Japanese Flag</t>
  </si>
  <si>
    <t>069D [Tex ] Red Sign</t>
  </si>
  <si>
    <t>069F [Tex ] Big Black/Red Sign</t>
  </si>
  <si>
    <t>06A1 [Tex ] Budokan Lights</t>
  </si>
  <si>
    <t>06A3 [Tex ] Budokan Side Ramp Exit Floor</t>
  </si>
  <si>
    <t>06A5 [Tex ] Budokan Side Ramp Floor</t>
  </si>
  <si>
    <t>06A7 [Tex ] Budokan Roof Scaffolding 3</t>
  </si>
  <si>
    <t>06A9 [Tex ] Budokan Roof Scaffolding 2</t>
  </si>
  <si>
    <t>06AB [Tex ] Budokan Roof Scaffolding 1</t>
  </si>
  <si>
    <t>06AD [Tex ] Budokan Lights 1</t>
  </si>
  <si>
    <t>06AF [Tex ] ?</t>
  </si>
  <si>
    <t>06B1 [Tex ] Doors?</t>
  </si>
  <si>
    <t>0712 [Poly] {Korakuen} Ring Lights/Scaffold Polygon</t>
  </si>
  <si>
    <t>0713 [Tex ] more crowd</t>
  </si>
  <si>
    <t>0715 [Tex ] more crowd</t>
  </si>
  <si>
    <t>0717 [Tex ] ?</t>
  </si>
  <si>
    <t>0719 [Tex ] ?</t>
  </si>
  <si>
    <t>071B [Tex ] CayoSuke with another ad</t>
  </si>
  <si>
    <t>071D [Tex ] Advert</t>
  </si>
  <si>
    <t>0727 [Tex ] Scoreboard</t>
  </si>
  <si>
    <t>0729 [Tex ] Kawasaki Guardrail</t>
  </si>
  <si>
    <t>072B [Tex ] Light blue outside mat?</t>
  </si>
  <si>
    <t>072D [Tex ] Black and bar?</t>
  </si>
  <si>
    <t>072F [Tex ] Kawasaki Ring Skirt</t>
  </si>
  <si>
    <t>0731 [Tex ] cineo italy sign</t>
  </si>
  <si>
    <t>0733 [Tex ] CayoSuke sign alone</t>
  </si>
  <si>
    <t>0735 [Tex ] Some People</t>
  </si>
  <si>
    <t>0737 [Tex ] Ring Mat (Kawasaki)</t>
  </si>
  <si>
    <t>0739 [Tex ] Clouds and Moon</t>
  </si>
  <si>
    <t>073B [Tex ] Lighted Signs</t>
  </si>
  <si>
    <t>073D [Tex ] Scaffold Side</t>
  </si>
  <si>
    <t>073F [Tex ] Stars</t>
  </si>
  <si>
    <t>0741 [Tex ] Scaffold Light</t>
  </si>
  <si>
    <t>0743 [Tex ] Table?</t>
  </si>
  <si>
    <t>--------------------------------------------</t>
  </si>
  <si>
    <t>0818 [Tex ] deep crowd 1</t>
  </si>
  <si>
    <t>081A [Tex ] more crowd</t>
  </si>
  <si>
    <t>081C [Tex ] Dome Crowd</t>
  </si>
  <si>
    <t>0820 [Tex ] more crowd</t>
  </si>
  <si>
    <t>0822 [Tex ] more crowd</t>
  </si>
  <si>
    <t>0824 [Tex ] more crowd</t>
  </si>
  <si>
    <t>0826 [Tex ] deep crowd 2</t>
  </si>
  <si>
    <t>0828 [Tex ] more crowd</t>
  </si>
  <si>
    <t>082A [Tex ] ramp texture???</t>
  </si>
  <si>
    <t>082C [Tex ] Scaffolding</t>
  </si>
  <si>
    <t>082E [Tex ] Fence with blue lights</t>
  </si>
  <si>
    <t>0830 [Tex ] more scaffolding</t>
  </si>
  <si>
    <t>0832 [Tex ] more scaffolding</t>
  </si>
  <si>
    <t>0834 [Tex ] plain fence/scaffolding</t>
  </si>
  <si>
    <t>0836 [Tex ] another white texture like 082A</t>
  </si>
  <si>
    <t>0838 [Tex ] like 082A and 0836 but alternating striped with black</t>
  </si>
  <si>
    <t>083A [Tex ] Dark blue</t>
  </si>
  <si>
    <t>083C [Tex ] Dark red</t>
  </si>
  <si>
    <t>083E [Tex ] Lights against green</t>
  </si>
  <si>
    <t>0840 [Tex ] {Tokyo Dome} lights/ads 1</t>
  </si>
  <si>
    <t>0842 [Tex ] {Tokyo Dome} lights/ads 2</t>
  </si>
  <si>
    <t>0844 [Tex ] {Tokyo Dome} AJPW sign text [ALL JAPAN PRO WRESTRING '99]</t>
  </si>
  <si>
    <t>0846 [Tex ] back wall lights?</t>
  </si>
  <si>
    <t>0848 [Tex ] more scaffolding</t>
  </si>
  <si>
    <t>084A [Tex ] blue circle light</t>
  </si>
  <si>
    <t>084C [Tex ] blue starburst light</t>
  </si>
  <si>
    <t>084E [Tex ] teal starburst light</t>
  </si>
  <si>
    <t>0850 [Tex ] goldish starburst light</t>
  </si>
  <si>
    <t>0852 [Tex ] blue AJPW logo</t>
  </si>
  <si>
    <t>0854 [Tex ] {Dome Road} green outside floor bottom left texture</t>
  </si>
  <si>
    <t>0856 [Tex ] {Dome Road} green outside floor top right texture</t>
  </si>
  <si>
    <t>0858 [Tex ] Scaffolding with bright lights</t>
  </si>
  <si>
    <t>085A [Tex ] odd black vertical</t>
  </si>
  <si>
    <t>085C [Tex ] door frame and handle?</t>
  </si>
  <si>
    <t>0866 [Poly] {Dome Road} Ring Lights/Scaf Polygon 1</t>
  </si>
  <si>
    <t>0867 [Poly] {Dome Road} Ring Lights/Scaf Polygon 2</t>
  </si>
  <si>
    <t>0868 [Poly] {Dome Road} Ring Lights/Scaf Polygon 3</t>
  </si>
  <si>
    <t>0869 [Poly] {Dome Road} Ring Lights/Scaf Polygon 4</t>
  </si>
  <si>
    <t>086D [Poly] {Dome Road} 3rd Ring Mat Polygon?</t>
  </si>
  <si>
    <t>087A [Poly] {Dome Road} Mats/Bottom Left Polygon</t>
  </si>
  <si>
    <t>087B [Poly] {Dome Road} Mats/Top Left Polygon</t>
  </si>
  <si>
    <t>087C [Poly] {Dome Road} Mats/Top Right Polygon</t>
  </si>
  <si>
    <t>087D [Poly] {Dome Road} Mats/Bottom Right Polygon</t>
  </si>
  <si>
    <t>08FF [Tex ] chair 1</t>
  </si>
  <si>
    <t>0902 [Tex ] chair 2</t>
  </si>
  <si>
    <t>0905 [Tex ] metal of sorts</t>
  </si>
  <si>
    <t>0907 [Tex ] Table Front</t>
  </si>
  <si>
    <t>0909 [Tex ] Table Back</t>
  </si>
  <si>
    <t>090B [Tex ] Broken Table Edge?</t>
  </si>
  <si>
    <t>090D [Tex ] Sickle texture?</t>
  </si>
  <si>
    <t>0910 [Tex ] Gray</t>
  </si>
  <si>
    <t>0913 [Tex ] goldish thing</t>
  </si>
  <si>
    <t>0915 [????] garbled green, black, white, and tan mess</t>
  </si>
  <si>
    <t>0917 [Tex ] Censor Frame 1?</t>
  </si>
  <si>
    <t>0918 [????]</t>
  </si>
  <si>
    <t>0919 [Tex ] Censor Frame 2?</t>
  </si>
  <si>
    <t>091A [????]</t>
  </si>
  <si>
    <t>091B [????]</t>
  </si>
  <si>
    <t>091C [????]</t>
  </si>
  <si>
    <t>091D [Tex?] all white</t>
  </si>
  <si>
    <t>0EA1 [Tex ] Attire A1 pelvis</t>
  </si>
  <si>
    <t>1151 [Tex ] Attire A27 pelvis</t>
  </si>
  <si>
    <t>1153 [Tex?] ???</t>
  </si>
  <si>
    <t>1155 [Tex?] ???</t>
  </si>
  <si>
    <t>1157 [Tex ] Attire A28 pelvis</t>
  </si>
  <si>
    <t>1159 [Tex?] ???</t>
  </si>
  <si>
    <t>115B [Tex?] ???</t>
  </si>
  <si>
    <t>115D [Tex ] Attire A29 pelvis</t>
  </si>
  <si>
    <t>115F [Tex?] ???</t>
  </si>
  <si>
    <t>1161 [Tex?] ???</t>
  </si>
  <si>
    <t>1162 [Tex?] ???</t>
  </si>
  <si>
    <t>1163 [Tex ] Attire F12 Yellow w/Black Stripe Chest/Back</t>
  </si>
  <si>
    <t>1165 [Tex ] Attire F12 Yellow w/Black Stripe</t>
  </si>
  <si>
    <t>1167 [Tex ] Attire F12 Yellow w/Black Stripe</t>
  </si>
  <si>
    <t>1169 [Tex ] Attire F12 Yellow w/Black Stripe</t>
  </si>
  <si>
    <t>116B [Tex ] Attire F12 Yellow w/Black Stripe</t>
  </si>
  <si>
    <t>116D [Tex ] Attire F12 Yellow w/Black Stripe</t>
  </si>
  <si>
    <t>116F [Tex ] Attire F12 Yellow w/Black Stripe</t>
  </si>
  <si>
    <t>1171 [Tex ] Upper A1 Chest</t>
  </si>
  <si>
    <t>1173 [Tex ] Upper A1 Stomach</t>
  </si>
  <si>
    <t>1175 [Tex ] Upper A2 Chest</t>
  </si>
  <si>
    <t>1177 [Tex ] Upper A2 Stomach</t>
  </si>
  <si>
    <t>1179 [Tex ] Upper A3 Chest</t>
  </si>
  <si>
    <t>117B [Tex ] Upper A3 Stomach</t>
  </si>
  <si>
    <t>117D [Tex ] Upper A4 Chest</t>
  </si>
  <si>
    <t>117F [Tex ] Upper A4 Stomach</t>
  </si>
  <si>
    <t>1181 [Tex ] Upper A5 Chest</t>
  </si>
  <si>
    <t>1183 [Tex ] Upper A5 Stomach</t>
  </si>
  <si>
    <t>1185 [Tex ] Upper A6 Chest</t>
  </si>
  <si>
    <t>1187 [Tex ] Upper A6 Stomach</t>
  </si>
  <si>
    <t>1189 [Tex ] Upper A7 Chest</t>
  </si>
  <si>
    <t>118B [Tex ] Upper A7 Stomach</t>
  </si>
  <si>
    <t>118D [Tex ] Upper A8 Chest</t>
  </si>
  <si>
    <t>118F [Tex ] Upper A8 Stomach</t>
  </si>
  <si>
    <t>122F [Tex ] Upper C3 Chest</t>
  </si>
  <si>
    <t>1231 [Tex ] Upper C3 Stomach</t>
  </si>
  <si>
    <t>1233 [Tex ] Upper C3 Sleeve</t>
  </si>
  <si>
    <t>1235 [Tex ] Upper C3 Wrist</t>
  </si>
  <si>
    <t>141F [Tex ] Chest Hair</t>
  </si>
  <si>
    <t>16D1 [????] unknown</t>
  </si>
  <si>
    <t>16D2 [????] unknown</t>
  </si>
  <si>
    <t>16D3 [????] unknown</t>
  </si>
  <si>
    <t>17F0 [Tex ] Face 1 [Giant Baba]</t>
  </si>
  <si>
    <t>17F1 [Tex ] Face 2 [Mitsuharu Misawa]</t>
  </si>
  <si>
    <t>17F2 [Tex ] Face 3 [Yoshinari Ogawa]</t>
  </si>
  <si>
    <t>17F3 [Tex ] Face 4 [Masahito Kakihara]</t>
  </si>
  <si>
    <t>17F4 [Tex ] Face 5 [Kenta Kobashi]</t>
  </si>
  <si>
    <t>17F5 [Tex ] Face 6 [Jun Akiyama]</t>
  </si>
  <si>
    <t>17F6 [Tex ] Face 7 [Kentaro Shiga]</t>
  </si>
  <si>
    <t>17F7 [Tex ] Face 8 [Toshiaki Kawada]</t>
  </si>
  <si>
    <t>17F8 [Tex ] Face 9 [Akira Taue]</t>
  </si>
  <si>
    <t>17F9 [Tex ] Face 10 [Takao Ohmai]</t>
  </si>
  <si>
    <t>17FA [Tex ] Face 11 [Yoshihiro Takayama]</t>
  </si>
  <si>
    <t>17FB [Tex ] Face 12 [Hiroshi Hase]</t>
  </si>
  <si>
    <t>17FC [Tex ] Face 13 [Jun Izumida]</t>
  </si>
  <si>
    <t>17FD [Tex ] Face 14 [Maunakea Mossman]</t>
  </si>
  <si>
    <t>17FE [Tex ] Face 15 [Vader]</t>
  </si>
  <si>
    <t>17FF [Tex ] Face 16 [Stan Hansen]</t>
  </si>
  <si>
    <t>1800 [Tex ] Face 17 [Johnny Ace]</t>
  </si>
  <si>
    <t>1801 [Tex ] Face 18 [Mike Barton]</t>
  </si>
  <si>
    <t>1802 [Tex ] Face 19 [Gary Albright]</t>
  </si>
  <si>
    <t>1803 [Tex ] Face 20 [Johnny Smith]</t>
  </si>
  <si>
    <t>1804 [Tex ] Face 21 [Giant Kimala</t>
  </si>
  <si>
    <t>1805 [Tex ] Face 22 [Shinya Hashimoto]</t>
  </si>
  <si>
    <t>1806 [Tex ] Face 23 [Tatsumi Fujinami]</t>
  </si>
  <si>
    <t>1807 [Tex ] Face 24 [Kensuke Saski</t>
  </si>
  <si>
    <t>1808 [Tex ] Face 25 [Shiro Koshinaka]</t>
  </si>
  <si>
    <t>1809 [Tex ] Face 26 [Manabu Nakanishi]</t>
  </si>
  <si>
    <t>180A [Tex ] Face 27 [Yuji Nagata]</t>
  </si>
  <si>
    <t>180B [Tex ] Face 28 [Kazuo Yamazaki]</t>
  </si>
  <si>
    <t>180C [Tex ] Face 29 [Tadao Yasuda]</t>
  </si>
  <si>
    <t>180D [Tex ] Face 30 [Masahiro Chono]</t>
  </si>
  <si>
    <t>180E [Tex ] Face 31 [Keiji Mutoh]</t>
  </si>
  <si>
    <t>180F [Tex ] Face 32 [Hiroyoshi Tenzan]</t>
  </si>
  <si>
    <t>1810 [Tex ] Face 33 [Satoshi Kojima]</t>
  </si>
  <si>
    <t>1811 [Tex ] Face 34 [Hiro Saito]</t>
  </si>
  <si>
    <t>1812 [Tex ] Face 35 [Scott Norton]</t>
  </si>
  <si>
    <t>1813 [Tex ] Face 36 [Shinjiro Ohtani]</t>
  </si>
  <si>
    <t>1814 [Tex ] Face 37 [Tatsuhito Takiwa]</t>
  </si>
  <si>
    <t>1815 [Tex ] Face 38 [Koji Kanemoto]</t>
  </si>
  <si>
    <t>1816 [Tex ] Face 39 [Masato Tanaka]</t>
  </si>
  <si>
    <t>1817 [Tex ] Face 40 [Hiromichi Fuyuki]</t>
  </si>
  <si>
    <t>1818 [Tex ] Face 41 [Mr. Gannosuke]</t>
  </si>
  <si>
    <t>1819 [Tex ] Face 42 [Jado]</t>
  </si>
  <si>
    <t>181A [Tex ] Face 43 [Gedo]</t>
  </si>
  <si>
    <t>181B [Tex ] Face 44 [Mike Awesome]</t>
  </si>
  <si>
    <t>181C [Tex ] Face 45 [Genichiro Tenryu]</t>
  </si>
  <si>
    <t>181D [Tex ] Face 46 [Jinsei Shinzaki]</t>
  </si>
  <si>
    <t>181E [Tex ] Face 47 [TAKA Michinoku]</t>
  </si>
  <si>
    <t>181F [Tex ] Face 48 [Magnum TOKYO]</t>
  </si>
  <si>
    <t>1820 [Tex ] Face 49 [CIMA/SHIMA]</t>
  </si>
  <si>
    <t>1821 [Tex ] Face 50 [Kiyoshi Tamura]</t>
  </si>
  <si>
    <t>1822 [Tex ] Face 51 [Tsuyoshi Kousaka]</t>
  </si>
  <si>
    <t>1823 [Tex ] Face 52 [Bitsadze Tariel]</t>
  </si>
  <si>
    <t>1824 [Tex ] Face 53 [Volk Han]</t>
  </si>
  <si>
    <t>1825 [Tex ] Face 54 [Masakatsu Funaki]</t>
  </si>
  <si>
    <t>1826 [Tex ] Face 55 [Yoshiki Takahashi]</t>
  </si>
  <si>
    <t>1827 [Tex ] Face 56 [Minoru Suzkui]</t>
  </si>
  <si>
    <t>1828 [Tex ] Face 57 [Kengo Watanabe]</t>
  </si>
  <si>
    <t>1829 [Tex ] Face 58 [Semmy Schikt]</t>
  </si>
  <si>
    <t>182A [Tex ] Face 59 [Nobuhiko Takada]</t>
  </si>
  <si>
    <t>182B [Tex ] Face 60 [Kazushi Sakuraba]</t>
  </si>
  <si>
    <t>182C [Tex ] Face 61 [Enson Inoue]</t>
  </si>
  <si>
    <t>182D [Tex ] Face 62 [Rumina Sato]</t>
  </si>
  <si>
    <t>182E [Tex ] Face 63 [Yuki Ishikawa]</t>
  </si>
  <si>
    <t>182F [Tex ] Face 64 [Alexander Otsuka]</t>
  </si>
  <si>
    <t>1830 [Tex ] Face 65 [Daisuke Ikeda]</t>
  </si>
  <si>
    <t>1831 [Tex ] Face 66 [Minoru Tanaka]</t>
  </si>
  <si>
    <t>1832 [Tex ] Face 67 [Jumbo Tsuruta]</t>
  </si>
  <si>
    <t>1833 [Tex ] Face 68 [Terry Funk]</t>
  </si>
  <si>
    <t>1834 [Tex ] Face 69 [Dory Funk Jr.]</t>
  </si>
  <si>
    <t>1835 [Tex ] Face 70 [Terry Gordy]</t>
  </si>
  <si>
    <t>1836 [Tex ] Face 71 [Steve Williams]</t>
  </si>
  <si>
    <t>1837 [Tex ] Face 72 [Bruiser Brody]</t>
  </si>
  <si>
    <t>1838 [Tex ] Face 73 [Abdullah the Butcher]</t>
  </si>
  <si>
    <t>1839 [Tex ] Face 74 [Akira Maeda]</t>
  </si>
  <si>
    <t>183A [Tex ] Face 75 [Aleksandr Karelin]</t>
  </si>
  <si>
    <t>183B [Tex ] Face 76 [Rickson Gracie]</t>
  </si>
  <si>
    <t>183C [Tex ] Face 77 [Mark Kerr]</t>
  </si>
  <si>
    <t>183D [Tex ] Face 78 [Bas Rutten]</t>
  </si>
  <si>
    <t>183E [Tex ] Face 79 [Don Frye]</t>
  </si>
  <si>
    <t>183F [Tex ] Face 80 [Antonio Inoki</t>
  </si>
  <si>
    <t>1840 [Tex ] Face 81 [Naoya Ogawa]</t>
  </si>
  <si>
    <t>1841 [Tex ] Face 82 [Riki Choshyu]</t>
  </si>
  <si>
    <t>1842 [Tex ] Face 83 [Atsushi Onita]</t>
  </si>
  <si>
    <t>1843 [Tex ] Face 84 [Yoshiaki Fujiwara]</t>
  </si>
  <si>
    <t>1844 [Tex ] Face 85 [Andre The Giant]</t>
  </si>
  <si>
    <t>1845 [Tex ] Face 86 [Tamon Honda]</t>
  </si>
  <si>
    <t>1846 [Tex ] Face 87 [Rusher Kimura]</t>
  </si>
  <si>
    <t>1847 [Tex ] Face 88 [Tsuyoshi Kikuchi]</t>
  </si>
  <si>
    <t>1848 [Tex ] Face 89 [Masanobu Fuchi]</t>
  </si>
  <si>
    <t>1849 [Tex ] Face 90 [Masao Inoue]</t>
  </si>
  <si>
    <t>184A [Tex ] Face 91 [Satoru Asako]</t>
  </si>
  <si>
    <t>184B [Tex ] Face 92 [Naomichi Marufuji]</t>
  </si>
  <si>
    <t>184C [Tex ] Face 93 [Yoshinobu Kanemaru]</t>
  </si>
  <si>
    <t>184D [Tex ] Face 94 [Haruka Eigen]</t>
  </si>
  <si>
    <t>184E [Tex ] Face 95 [Dan Severn]</t>
  </si>
  <si>
    <t>184F [Tex ] Face 96 [Mitsuhiro Matsunaga]</t>
  </si>
  <si>
    <t>1850 [Tex ] Face 97 [Yoji Anjo]</t>
  </si>
  <si>
    <t>1851 [Tex ] Face 98 [Hayabusa]</t>
  </si>
  <si>
    <t>1852 [Tex ] Face 99 [Tiger Mask]</t>
  </si>
  <si>
    <t>1853 [Tex ] Face 100 [Mil Mascaras]</t>
  </si>
  <si>
    <t>1854 [Tex ] Face 101 [Jyushin Liger]</t>
  </si>
  <si>
    <t>1855 [Tex ] Face 102 [El Samurai]</t>
  </si>
  <si>
    <t>1856 [Tex ] Face 103 [Kendo Ka Shin]</t>
  </si>
  <si>
    <t>1857 [Tex ] Face 104 [Super Delfin]</t>
  </si>
  <si>
    <t>1858 [Tex ] Face 105 [Gran Naniwa]</t>
  </si>
  <si>
    <t>1859 [Tex ] Face 106 [Ultimo Dragon]</t>
  </si>
  <si>
    <t>185A [Tex ] Face 107 [Dr. Wagner Jr.]</t>
  </si>
  <si>
    <t>185B [Tex ] Face 108 [Great Sasuke]</t>
  </si>
  <si>
    <t>185C [Tex ] Face 109 [The Destroyer]</t>
  </si>
  <si>
    <t>185D [Tex ] Face 110 [The Patriot]</t>
  </si>
  <si>
    <t>--------------------------</t>
  </si>
  <si>
    <t>185E [Tex ] Front Hair #1</t>
  </si>
  <si>
    <t>185F [Tex ] Front Hair #2</t>
  </si>
  <si>
    <t>1860 [Tex ] Front Hair #3</t>
  </si>
  <si>
    <t>1861 [Tex ] Front Hair #4</t>
  </si>
  <si>
    <t>1862 [Tex ] Front Hair #5</t>
  </si>
  <si>
    <t>1863 [Tex ] Front Hair #6</t>
  </si>
  <si>
    <t>1864 [Tex ] Front Hair #7</t>
  </si>
  <si>
    <t>1865 [Tex ] Front Hair #8</t>
  </si>
  <si>
    <t>1866 [Tex ] Front Hair #9</t>
  </si>
  <si>
    <t>1867 [Tex ] Front Hair #10</t>
  </si>
  <si>
    <t>1868 [Tex ] Front Hair #11</t>
  </si>
  <si>
    <t>1869 [Tex ] Front Hair #12</t>
  </si>
  <si>
    <t>186A [Tex ] Front Hair #13</t>
  </si>
  <si>
    <t>186B [Tex ] Front Hair #14</t>
  </si>
  <si>
    <t>186C [Tex ] Front Hair #15</t>
  </si>
  <si>
    <t>186D [Tex ] Front Hair #16</t>
  </si>
  <si>
    <t>186E [Tex ] Front Hair #17</t>
  </si>
  <si>
    <t>186F [Tex ] Front Hair #18</t>
  </si>
  <si>
    <t>1870 [Tex ] Front Hair #19</t>
  </si>
  <si>
    <t>1871 [Tex ] Front Hair #20</t>
  </si>
  <si>
    <t>1872 [Tex ] Front Hair #21</t>
  </si>
  <si>
    <t>1873 [Tex ] Front Hair #22</t>
  </si>
  <si>
    <t>1874 [Tex ] Front Hair #23</t>
  </si>
  <si>
    <t>1875 [Tex ] Front Hair #24</t>
  </si>
  <si>
    <t>1876 [Tex ] Front Hair #25</t>
  </si>
  <si>
    <t>1877 [Tex ] Front Hair #26</t>
  </si>
  <si>
    <t>1878 [Tex ] Front Hair #27</t>
  </si>
  <si>
    <t>1879 [Tex ] Front Hair #28</t>
  </si>
  <si>
    <t>187A [Tex ] Front Hair #29</t>
  </si>
  <si>
    <t>187B [Tex ] Front Hair #30</t>
  </si>
  <si>
    <t>187C [Tex ] Front Hair #31</t>
  </si>
  <si>
    <t>187D [Tex ] Front Hair #32</t>
  </si>
  <si>
    <t>187E [Tex ] Front Hair #33</t>
  </si>
  <si>
    <t>187F [Tex ] Front Hair #34</t>
  </si>
  <si>
    <t>1880 [Tex ] Front Hair #35</t>
  </si>
  <si>
    <t>1881 [Tex ] Front Hair #36</t>
  </si>
  <si>
    <t>1882 [Tex ] Front Hair #37</t>
  </si>
  <si>
    <t>1883 [Tex ] Front Hair #38</t>
  </si>
  <si>
    <t>1884 [Tex ] Front Hair #39</t>
  </si>
  <si>
    <t>1885 [Tex ] Front Hair #40</t>
  </si>
  <si>
    <t>1886 [Tex ] Front Hair #41</t>
  </si>
  <si>
    <t>1887 [Tex ] Front Hair #42</t>
  </si>
  <si>
    <t>1888 [Tex ] Front Hair #43</t>
  </si>
  <si>
    <t>1889 [Tex ] Front Hair #44</t>
  </si>
  <si>
    <t>188A [Tex ] Front Hair #45</t>
  </si>
  <si>
    <t>188B [Tex ] Front Hair #46</t>
  </si>
  <si>
    <t>188C [Tex ] Front Hair #47</t>
  </si>
  <si>
    <t>188D [Tex ] Front Hair #48</t>
  </si>
  <si>
    <t>188E [Tex ] Front Hair #49</t>
  </si>
  <si>
    <t>188F [Tex ] Front Hair #50</t>
  </si>
  <si>
    <t>1890 [Tex ] Front Hair #51</t>
  </si>
  <si>
    <t>1891 [Tex ] Front Hair #52</t>
  </si>
  <si>
    <t>1892 [Tex ] Front Hair #53</t>
  </si>
  <si>
    <t>1893 [Tex ] Front Hair #54</t>
  </si>
  <si>
    <t>1894 [Tex ] Front Hair #55</t>
  </si>
  <si>
    <t>1895 [Tex ] Front Hair #56</t>
  </si>
  <si>
    <t>1896 [Tex ] Front Hair #57</t>
  </si>
  <si>
    <t>1897 [Tex ] Front Hair #58</t>
  </si>
  <si>
    <t>1898 [Tex ] Front Hair #59</t>
  </si>
  <si>
    <t>1899 [Tex ] Front Hair #60</t>
  </si>
  <si>
    <t>189A [Tex ] Front Hair #61</t>
  </si>
  <si>
    <t>189B [Tex ] Front Hair #62</t>
  </si>
  <si>
    <t>189C [Tex ] Front Hair #63</t>
  </si>
  <si>
    <t>189D [Tex ] Front Hair #64</t>
  </si>
  <si>
    <t>189E [Tex ] Front Hair #65</t>
  </si>
  <si>
    <t>189F [Tex ] Front Hair #66</t>
  </si>
  <si>
    <t>18A0 [Tex ] Front Hair #67</t>
  </si>
  <si>
    <t>18A1 [Tex ] Front Hair #68</t>
  </si>
  <si>
    <t>18A2 [Tex ] Front Hair #69</t>
  </si>
  <si>
    <t>18A3 [Tex ] Front Hair #70</t>
  </si>
  <si>
    <t>18A4 [Tex ] Front Hair #71</t>
  </si>
  <si>
    <t>18A5 [Tex ] Front Hair #72</t>
  </si>
  <si>
    <t>18A6 [Tex ] Front Hair #73</t>
  </si>
  <si>
    <t>18A7 [Tex ] Front Hair #74</t>
  </si>
  <si>
    <t>18A8 [Tex ] Front Hair #75</t>
  </si>
  <si>
    <t>18A9 [Tex ] Front Hair #76</t>
  </si>
  <si>
    <t>18AA [Tex ] Front Hair #77</t>
  </si>
  <si>
    <t>18AB [Tex ] Front Hair #78</t>
  </si>
  <si>
    <t>18AC [Tex ] Front Hair #79</t>
  </si>
  <si>
    <t>18AD [Tex ] Front Hair #80</t>
  </si>
  <si>
    <t>18AE [Tex ] Front Hair #81</t>
  </si>
  <si>
    <t>18AF [Tex ] Front Hair #82</t>
  </si>
  <si>
    <t>18B0 [Tex ] Front Hair #83</t>
  </si>
  <si>
    <t>18B1 [Tex ] Front Hair #84</t>
  </si>
  <si>
    <t>18B2 [Tex ] Front Hair #85</t>
  </si>
  <si>
    <t>18B3 [Tex ] Front Hair #86</t>
  </si>
  <si>
    <t>18B4 [Tex ] Front Hair #87</t>
  </si>
  <si>
    <t>18B5 [Tex ] Front Hair #88</t>
  </si>
  <si>
    <t>18B6 [Tex ] Front Hair #89</t>
  </si>
  <si>
    <t>18B7 [Tex ] Front Hair #90</t>
  </si>
  <si>
    <t>18B8 [Tex ] Front Hair #91</t>
  </si>
  <si>
    <t>18B9 [Tex ] Front Hair #92</t>
  </si>
  <si>
    <t>18BA [Tex ] Front Hair #93</t>
  </si>
  <si>
    <t>18BB [Tex ] Front Hair #94</t>
  </si>
  <si>
    <t>18BC [Tex ] Front Hair #95</t>
  </si>
  <si>
    <t>18BD [Tex ] Front Hair #96</t>
  </si>
  <si>
    <t>18BE [Tex ] Front Hair #97</t>
  </si>
  <si>
    <t>18BF [Tex ] Front Hair #98</t>
  </si>
  <si>
    <t>18C0 [Tex ] Front Hair #99</t>
  </si>
  <si>
    <t>18C1 [Tex ] Front Hair #100</t>
  </si>
  <si>
    <t>18C2 [Tex ] Front Hair #101</t>
  </si>
  <si>
    <t>18C3 [Tex ] Front Hair #102</t>
  </si>
  <si>
    <t>18C4 [Tex ] Front Hair #103</t>
  </si>
  <si>
    <t>18C5 [Tex ] Front Hair #104</t>
  </si>
  <si>
    <t>18C6 [Tex ] Front Hair #105</t>
  </si>
  <si>
    <t>18C7 [Tex ] Front Hair #106</t>
  </si>
  <si>
    <t>18C8 [Tex ] Front Hair #107</t>
  </si>
  <si>
    <t>18C9 [Tex ] Front Hair #108</t>
  </si>
  <si>
    <t>18CA [Tex ] Front Hair #109</t>
  </si>
  <si>
    <t>18CB [Tex ] Front Hair #110</t>
  </si>
  <si>
    <t>---------------------------</t>
  </si>
  <si>
    <t>18CC [Tex ] Facial Hair #1</t>
  </si>
  <si>
    <t>18CD [Tex ] Facial Hair #2</t>
  </si>
  <si>
    <t>18CE [Tex ] Facial Hair #3</t>
  </si>
  <si>
    <t>18CF [Tex ] Facial Hair #4</t>
  </si>
  <si>
    <t>18D0 [Tex ] Facial Hair #5</t>
  </si>
  <si>
    <t>18D1 [Tex ] Facial Hair #6</t>
  </si>
  <si>
    <t>18D2 [Tex ] Facial Hair #7</t>
  </si>
  <si>
    <t>18D3 [Tex ] Facial Hair #8</t>
  </si>
  <si>
    <t>18D4 [Tex ] Facial Hair #9</t>
  </si>
  <si>
    <t>18D5 [Tex ] Facial Hair #10</t>
  </si>
  <si>
    <t>18D6 [Tex ] Facial Hair #11</t>
  </si>
  <si>
    <t>18D7 [Tex ] Facial Hair #12</t>
  </si>
  <si>
    <t>18D8 [Tex ] Facial Hair #13</t>
  </si>
  <si>
    <t>18D9 [Tex ] Facial Hair #14</t>
  </si>
  <si>
    <t>18DA [Tex ] Facial Hair #15</t>
  </si>
  <si>
    <t>18DB [Tex ] Facial Hair #16</t>
  </si>
  <si>
    <t>18DC [Tex ] Facial Hair #17</t>
  </si>
  <si>
    <t>18DD [Tex ] Facial Hair #18</t>
  </si>
  <si>
    <t>18DE [Tex ] Facial Hair #19</t>
  </si>
  <si>
    <t>18DF [Tex ] Facial Hair #20</t>
  </si>
  <si>
    <t>18E0 [Tex ] Facial Hair #21</t>
  </si>
  <si>
    <t>18E1 [Tex ] Facial Hair #22</t>
  </si>
  <si>
    <t>18E2 [Tex ] Facial Hair #23</t>
  </si>
  <si>
    <t>18E3 [Tex ] Facial Hair #24</t>
  </si>
  <si>
    <t>18E4 [Tex ] Facial Hair #25</t>
  </si>
  <si>
    <t>18E5 [Tex ] Facial Hair #26</t>
  </si>
  <si>
    <t>18E6 [Tex ] Facial Hair #27</t>
  </si>
  <si>
    <t>18E7 [Tex ] Facial Hair #28</t>
  </si>
  <si>
    <t>18E8 [Tex ] Facial Hair #29</t>
  </si>
  <si>
    <t>18E9 [Tex ] Facial Hair #30</t>
  </si>
  <si>
    <t>18EA [Tex ] Facial Hair #31</t>
  </si>
  <si>
    <t>18EB [Tex ] Facepaint #1</t>
  </si>
  <si>
    <t>18EC [Tex ] Facepaint #2</t>
  </si>
  <si>
    <t>18ED [Tex ] Facepaint #3</t>
  </si>
  <si>
    <t>18EE [Tex ] Facepaint #4</t>
  </si>
  <si>
    <t>18EF [Tex ] Facepaint #5</t>
  </si>
  <si>
    <t>18F0 [Tex ] Facepaint #6</t>
  </si>
  <si>
    <t>18F1 [Tex ] Facepaint #7</t>
  </si>
  <si>
    <t>18F2 [Tex ] Facepaint #8</t>
  </si>
  <si>
    <t>18F3 [Tex ] Facepaint #9</t>
  </si>
  <si>
    <t>18F4 [Tex ] Facepaint #10</t>
  </si>
  <si>
    <t>18F5 [Tex ] Facepaint #11</t>
  </si>
  <si>
    <t>18F6 [Tex ] Facepaint #12</t>
  </si>
  <si>
    <t>18F7 [Tex ] Facepaint #13</t>
  </si>
  <si>
    <t>18F8 [Tex ] Facepaint #14</t>
  </si>
  <si>
    <t>18F9 [Tex ] Facepaint #15</t>
  </si>
  <si>
    <t>18FA [Tex ] Facepaint #16</t>
  </si>
  <si>
    <t>18FB [Tex ] Facepaint #17</t>
  </si>
  <si>
    <t>18FC [Tex ] Facepaint #18</t>
  </si>
  <si>
    <t>18FD [Tex ] Facepaint #19</t>
  </si>
  <si>
    <t>18FE [Tex ] Facepaint #20</t>
  </si>
  <si>
    <t>18FF [Tex ] Facepaint #21</t>
  </si>
  <si>
    <t>1900 [Tex ] Facepaint #22</t>
  </si>
  <si>
    <t>1901 [Tex ] Facepaint #23</t>
  </si>
  <si>
    <t>1902 [Tex ] Facepaint #24</t>
  </si>
  <si>
    <t>1903 [Tex ] Facepaint #25</t>
  </si>
  <si>
    <t>1904 [Tex ] Facepaint #26</t>
  </si>
  <si>
    <t>1905 [Tex ] Facepaint #27</t>
  </si>
  <si>
    <t>1906 [Tex ] Facepaint #28</t>
  </si>
  <si>
    <t>1907 [Tex ] Facepaint #29</t>
  </si>
  <si>
    <t>1908 [Tex ] Facepaint #30</t>
  </si>
  <si>
    <t>1909 [Tex ] Facepaint #31</t>
  </si>
  <si>
    <t>-----------------------------</t>
  </si>
  <si>
    <t>190A [Tex ] Face Accessory #1</t>
  </si>
  <si>
    <t>190B [Tex ] Face Accessory #2</t>
  </si>
  <si>
    <t>190C [Tex ] Face Accessory #3</t>
  </si>
  <si>
    <t>190D [Tex ] Face Accessory #4</t>
  </si>
  <si>
    <t>190E [Tex ] Face Accessory #5</t>
  </si>
  <si>
    <t>190F [Tex ] Face Accessory #6</t>
  </si>
  <si>
    <t>1910 [Tex ] Face Accessory #7</t>
  </si>
  <si>
    <t>1911 [Tex ] Face Accessory #8</t>
  </si>
  <si>
    <t>1912 [Tex ] Face Accessory #9</t>
  </si>
  <si>
    <t>1913 [Tex ] Face Accessory #10</t>
  </si>
  <si>
    <t>1914 [Tex ] Face Accessory #11</t>
  </si>
  <si>
    <t>1915 [Tex ] Face Accessory #12</t>
  </si>
  <si>
    <t>1916 [Tex ] Face Accessory #13</t>
  </si>
  <si>
    <t>1917 [Tex ] Face Accessory #14</t>
  </si>
  <si>
    <t>1918 [Tex ] Face Accessory #15</t>
  </si>
  <si>
    <t>1919 [Tex ] Face Accessory #16</t>
  </si>
  <si>
    <t>191A [Tex ] Face Accessory #17</t>
  </si>
  <si>
    <t>191B [Tex ] Face Accessory #18</t>
  </si>
  <si>
    <t>191C [Tex ] Face Accessory #19</t>
  </si>
  <si>
    <t>191D [Tex ] Face Accessory #20</t>
  </si>
  <si>
    <t>191E [Tex ] Face Accessory #21</t>
  </si>
  <si>
    <t>191F [Tex ] Face Accessory #22</t>
  </si>
  <si>
    <t>1920 [Tex ] Face Accessory #23</t>
  </si>
  <si>
    <t>1921 [Tex ] Face Accessory #24</t>
  </si>
  <si>
    <t>1922 [Tex ] Face Accessory #25</t>
  </si>
  <si>
    <t>1923 [Tex ] Face Accessory #26</t>
  </si>
  <si>
    <t>1924 [Tex ] Face Accessory #27</t>
  </si>
  <si>
    <t>1925 [Tex ] Face Accessory #28</t>
  </si>
  <si>
    <t>1926 [Tex ] Face Accessory #29</t>
  </si>
  <si>
    <t>1927 [Tex ] Face Accessory #30</t>
  </si>
  <si>
    <t>1928 [Tex ] Face Accessory #31</t>
  </si>
  <si>
    <t>1932 [Poly] Face Accessory 2 #7 Polygon 1</t>
  </si>
  <si>
    <t>1934 [Poly] Face Accessory 2 #7 Polygon 1</t>
  </si>
  <si>
    <t>193A -</t>
  </si>
  <si>
    <t>193B -</t>
  </si>
  <si>
    <t>193C -</t>
  </si>
  <si>
    <t>193D [Poly] Face Accessory 2 #9 Polygon 2</t>
  </si>
  <si>
    <t>193E [Poly] Face Accessory 2 #1 Polygon</t>
  </si>
  <si>
    <t>193F [Poly] Face Accessory 2 #2 Polygon</t>
  </si>
  <si>
    <t>1940 [Poly] Face Accessory 2 #3 Polygon</t>
  </si>
  <si>
    <t>1941 [Poly] Face Accessory 2 #4 Polygon</t>
  </si>
  <si>
    <t>1942 [Poly] Face Accessory 2 #5 Polygon</t>
  </si>
  <si>
    <t>1943 [Poly] Face Accessory 2 #9 Polygon 1</t>
  </si>
  <si>
    <t>1944 [Poly] Face Accessory 2 #6 Polygon 1</t>
  </si>
  <si>
    <t>1945 [Poly] Face Accessory 2 #8 Polygon 1</t>
  </si>
  <si>
    <t>1946 [Poly] Face Accessory 2 #10 Polygon 1</t>
  </si>
  <si>
    <t>1947 [Poly] Face Accessory 2 #6 Polygon 2</t>
  </si>
  <si>
    <t>1948 [Poly] Face Accessory 2 #8 Polygon 2</t>
  </si>
  <si>
    <t>1949 [Poly] Face Accessory 2 #10 Polygon 2</t>
  </si>
  <si>
    <t>....</t>
  </si>
  <si>
    <t>{ Mask back/side Polygons }</t>
  </si>
  <si>
    <t>197B [Poly]</t>
  </si>
  <si>
    <t>197C [Poly]</t>
  </si>
  <si>
    <t>197D [Poly]</t>
  </si>
  <si>
    <t>197E [Poly]</t>
  </si>
  <si>
    <t>197F [Poly]</t>
  </si>
  <si>
    <t>1980 [Poly]</t>
  </si>
  <si>
    <t>1981 [Poly] No Mask Accessory 1</t>
  </si>
  <si>
    <t>1982 [Poly] Darth Vader Helmet?</t>
  </si>
  <si>
    <t>1983 [Poly]</t>
  </si>
  <si>
    <t>1984 [Poly]</t>
  </si>
  <si>
    <t>1985 [Poly]</t>
  </si>
  <si>
    <t>1986 [Poly] Mask Accessory 1 #3 type1</t>
  </si>
  <si>
    <t>1987 [Poly] Mask Accessory 1 #3 type2</t>
  </si>
  <si>
    <t>1988 [Poly] Mask Accessory 1 #3 type3</t>
  </si>
  <si>
    <t>1989 [Poly] Mask Accessory 1 #3 type4</t>
  </si>
  <si>
    <t>198A [Poly] Mask Accessory 1 #3 type5</t>
  </si>
  <si>
    <t>198B [Poly] Mask Accessory 1 #3 type6</t>
  </si>
  <si>
    <t>198C [Poly] Mask Accessory 1 #4</t>
  </si>
  <si>
    <t>198D [Poly]</t>
  </si>
  <si>
    <t>198E [Poly]</t>
  </si>
  <si>
    <t>198F [Poly]</t>
  </si>
  <si>
    <t>1990 [Poly]</t>
  </si>
  <si>
    <t>1991 [Poly]</t>
  </si>
  <si>
    <t>1992 [Poly]</t>
  </si>
  <si>
    <t>1993 [Poly]</t>
  </si>
  <si>
    <t>1994 [Poly]</t>
  </si>
  <si>
    <t>1995 [Poly]</t>
  </si>
  <si>
    <t>1996 [Poly]</t>
  </si>
  <si>
    <t>1997 [Poly]</t>
  </si>
  <si>
    <t>199F [????]</t>
  </si>
  <si>
    <t>19A7 [????]</t>
  </si>
  <si>
    <t>19A9 [????]</t>
  </si>
  <si>
    <t>19AA [Tex ] Mask #1 Side</t>
  </si>
  <si>
    <t>19AB [Tex ] Mask #2 Side</t>
  </si>
  <si>
    <t>19AC [Tex ] Mask #3 Side</t>
  </si>
  <si>
    <t>19AD [Tex ] Mask #4 Side</t>
  </si>
  <si>
    <t>19AE [Tex ] Mask #5 Side</t>
  </si>
  <si>
    <t>19AF [Tex ] Mask #6 Side</t>
  </si>
  <si>
    <t>19B0 [Tex ] Mask #7 Side</t>
  </si>
  <si>
    <t>19B1 [Tex ] Mask #8 Side</t>
  </si>
  <si>
    <t>19B2 [Tex ] Mask #9 Side</t>
  </si>
  <si>
    <t>19B3 [Tex ] Mask #10 Side</t>
  </si>
  <si>
    <t>19B4 [Tex ] Mask #11 Side</t>
  </si>
  <si>
    <t>19B5 [Tex ] Mask #12 Side</t>
  </si>
  <si>
    <t>19B6 [Tex ] Mask #13 Side</t>
  </si>
  <si>
    <t>19B7 [Tex ] Mask #14 Side</t>
  </si>
  <si>
    <t>19B8 [Tex ] Mask #15 Side</t>
  </si>
  <si>
    <t>19B9 [Tex ] Mask #16 Side</t>
  </si>
  <si>
    <t>19BA [Tex ] Mask #17 Side</t>
  </si>
  <si>
    <t>19BB [Tex ] Mask #18 Side</t>
  </si>
  <si>
    <t>19BC [Tex ] Mask #19 Side</t>
  </si>
  <si>
    <t>19BD [Tex ] Mask #20 Side</t>
  </si>
  <si>
    <t>19BE [Tex ] Mask #21 Side</t>
  </si>
  <si>
    <t>19BF [Tex ] Mask #22 Side</t>
  </si>
  <si>
    <t>19C0 -</t>
  </si>
  <si>
    <t>19C1 [Tex ] Mask Accessory 2 #1</t>
  </si>
  <si>
    <t>19C2 [Tex ] Mask Accessory 2 #2</t>
  </si>
  <si>
    <t>19C3 [Tex ] Mask Accessory 2 #3</t>
  </si>
  <si>
    <t>19C4 [Tex ] Mask Accessory 2 #4</t>
  </si>
  <si>
    <t>19C5 [Tex ] Mask Accessory 2 #6</t>
  </si>
  <si>
    <t>19C6 [Tex ] Mask Accessory 2 #7</t>
  </si>
  <si>
    <t>19C7 [Tex ] Mask Accessory 2 #9</t>
  </si>
  <si>
    <t>19C8 [Tex ] Mask Accessory 2 #11</t>
  </si>
  <si>
    <t>19C9 - Mask #9 Neck</t>
  </si>
  <si>
    <t>19CA -</t>
  </si>
  <si>
    <t>19CB -</t>
  </si>
  <si>
    <t>19CC -</t>
  </si>
  <si>
    <t>19CD -</t>
  </si>
  <si>
    <t>19CE [Tex ] Mask #1 Front</t>
  </si>
  <si>
    <t>19CF [Tex ] Mask #2 Front</t>
  </si>
  <si>
    <t>19D0 [Tex ] Mask #3 Front</t>
  </si>
  <si>
    <t>19D1 [Tex ] Mask #4 Front</t>
  </si>
  <si>
    <t>19D2 [Tex ] Mask #5 Front</t>
  </si>
  <si>
    <t>19D3 [Tex ] Mask #6 Front</t>
  </si>
  <si>
    <t>19D4 [Tex ] Mask #7 Front</t>
  </si>
  <si>
    <t>19D5 [Tex ] Mask #8 Front</t>
  </si>
  <si>
    <t>19D6 [Tex ] Mask #9 Front</t>
  </si>
  <si>
    <t>19D7 [Tex ] Mask #10 Front</t>
  </si>
  <si>
    <t>19D8 [Tex ] Mask #11 Front</t>
  </si>
  <si>
    <t>19D9 [Tex ] Mask #12 Front</t>
  </si>
  <si>
    <t>19DA [Tex ] Mask #13 Front</t>
  </si>
  <si>
    <t>19DB [Tex ] Mask #14 Front</t>
  </si>
  <si>
    <t>19DC [Tex ] Mask #15 Front</t>
  </si>
  <si>
    <t>19DD [Tex ] Mask #16 Front</t>
  </si>
  <si>
    <t>19DE [Tex ] Mask #17 Front</t>
  </si>
  <si>
    <t>19DF [Tex ] Mask #18 Front</t>
  </si>
  <si>
    <t>19E0 [Tex ] Mask #19 Front</t>
  </si>
  <si>
    <t>19E1 [Tex ] Mask #20 Front</t>
  </si>
  <si>
    <t>19E2 [Tex ] Mask #21 Front</t>
  </si>
  <si>
    <t>19E3 [Tex ] Mask #22 Front</t>
  </si>
  <si>
    <t>19E4 [Tex ] Mask #1 Ripped Front</t>
  </si>
  <si>
    <t>19E5 [Tex ] Mask #2 Ripped Front</t>
  </si>
  <si>
    <t>19E6 [Tex ] Mask #3 Ripped Front</t>
  </si>
  <si>
    <t>19E7 [Tex ] Mask #4 Ripped Front</t>
  </si>
  <si>
    <t>19E8 [Tex ] Mask #5 Ripped Front</t>
  </si>
  <si>
    <t>19E9 [Tex ] Mask #6 Ripped Front</t>
  </si>
  <si>
    <t>19EA [Tex ] Mask #7 Ripped Front</t>
  </si>
  <si>
    <t>19EB [Tex ] Mask #8 Ripped Front</t>
  </si>
  <si>
    <t>19EC [Tex ] Mask #9 Ripped Front</t>
  </si>
  <si>
    <t>19ED [Tex ] Mask #10 Ripped Front</t>
  </si>
  <si>
    <t>19EE [Tex ] Mask #11 Ripped Front</t>
  </si>
  <si>
    <t>19EF [Tex ] Mask #12 Ripped Front</t>
  </si>
  <si>
    <t>19F0 [Tex ] Mask #13 Ripped Front</t>
  </si>
  <si>
    <t>19F1 [Tex ] Mask #14 Ripped Front</t>
  </si>
  <si>
    <t>19F2 [Tex ] Mask #15 Ripped Front</t>
  </si>
  <si>
    <t>19F3 [Tex ] Mask #16 Ripped Front</t>
  </si>
  <si>
    <t>19F4 [Tex ] Mask #17 Ripped Front</t>
  </si>
  <si>
    <t>19F5 [Tex ] Mask #18 Ripped Front</t>
  </si>
  <si>
    <t>19F6 [Tex ] Mask #19 Ripped Front</t>
  </si>
  <si>
    <t>19F7 [Tex ] Mask #20 Ripped Front</t>
  </si>
  <si>
    <t>19F8 [Tex ] Mask #21 Ripped Front</t>
  </si>
  <si>
    <t>19F9 [Tex ] Mask #22 Ripped Front</t>
  </si>
  <si>
    <t>it is assumed that the valid values stop at 0x3321.</t>
  </si>
  <si>
    <t>Extra Attire Polygons</t>
  </si>
  <si>
    <t>---------------------</t>
  </si>
  <si>
    <t>01 - Skirt 1</t>
  </si>
  <si>
    <t>02 - Skirt 2</t>
  </si>
  <si>
    <t>03 - Skirt 3</t>
  </si>
  <si>
    <t>05 - Track Jacket</t>
  </si>
  <si>
    <t>0A - Gedo Shirt</t>
  </si>
  <si>
    <t>0B - C3 Extension</t>
  </si>
  <si>
    <t>0C - C5 Extension</t>
  </si>
  <si>
    <t>0D -</t>
  </si>
  <si>
    <t>0E -</t>
  </si>
  <si>
    <t>0F - UMA Extension</t>
  </si>
  <si>
    <t>14 - Baba Robe Lower Extension</t>
  </si>
  <si>
    <t>15 - Kawada Robe Lower Extension</t>
  </si>
  <si>
    <t>[SWED/EOF]</t>
  </si>
  <si>
    <t>01 Weak Grapple A</t>
  </si>
  <si>
    <t>02 Weak Grapple A side</t>
  </si>
  <si>
    <t>03 Weak Grapple A up</t>
  </si>
  <si>
    <t>04 Weak Grapple A down</t>
  </si>
  <si>
    <t>05 Weak Grapple B</t>
  </si>
  <si>
    <t>06 Weak Grapple B reversal</t>
  </si>
  <si>
    <t>07 Weak Grapple B reversal</t>
  </si>
  <si>
    <t>08 Weak Grapple B reversal</t>
  </si>
  <si>
    <t>09 Weak Grapple B reversal</t>
  </si>
  <si>
    <t>0A Weak Grapple B side</t>
  </si>
  <si>
    <t>0B Weak Grapple B side reversal</t>
  </si>
  <si>
    <t>0C Weak Grapple B side reversal</t>
  </si>
  <si>
    <t>0D Weak Grapple B side reversal</t>
  </si>
  <si>
    <t>0E Weak Grapple B side reversal</t>
  </si>
  <si>
    <t>0F Weak Grapple B up</t>
  </si>
  <si>
    <t>10 Weak Grapple B up reversal</t>
  </si>
  <si>
    <t>11 Weak Grapple B up reversal</t>
  </si>
  <si>
    <t>12 Weak Grapple B up reversal</t>
  </si>
  <si>
    <t>13 Weak Grapple B up reversal</t>
  </si>
  <si>
    <t>14 Weak Grapple B down</t>
  </si>
  <si>
    <t>15 Weak Grapple B down reversal</t>
  </si>
  <si>
    <t>16 Weak Grapple B down reversal</t>
  </si>
  <si>
    <t>17 Weak Grapple B down reversal</t>
  </si>
  <si>
    <t>18 Weak Grapple B down reversal</t>
  </si>
  <si>
    <t>19 Strong Grapple A</t>
  </si>
  <si>
    <t>1A Strong Grapple A reversal</t>
  </si>
  <si>
    <t>1B Strong Grapple A reversal</t>
  </si>
  <si>
    <t>1C Strong Grapple A reversal</t>
  </si>
  <si>
    <t>1D Strong Grapple A reversal</t>
  </si>
  <si>
    <t>1E Strong Grapple A side</t>
  </si>
  <si>
    <t>1F Strong Grapple A side reversal</t>
  </si>
  <si>
    <t>20 Strong Grapple A side reversal</t>
  </si>
  <si>
    <t>21 Strong Grapple A side reversal</t>
  </si>
  <si>
    <t>22 Strong Grapple A side reversal</t>
  </si>
  <si>
    <t>23 Strong Grapple A up</t>
  </si>
  <si>
    <t>24 Strong Grapple A up reversal</t>
  </si>
  <si>
    <t>25 Strong Grapple A up reversal</t>
  </si>
  <si>
    <t>26 Strong Grapple A up reversal</t>
  </si>
  <si>
    <t>27 Strong Grapple A up reversal</t>
  </si>
  <si>
    <t>28 Strong Grapple A down</t>
  </si>
  <si>
    <t>29 Strong Grapple A down reversal</t>
  </si>
  <si>
    <t>2A Strong Grapple A down reversal</t>
  </si>
  <si>
    <t>2B Strong Grapple A down reversal</t>
  </si>
  <si>
    <t>2C Strong Grapple A down reversal</t>
  </si>
  <si>
    <t>2D Strong Grapple B</t>
  </si>
  <si>
    <t>2E Strong Grapple B reversal</t>
  </si>
  <si>
    <t>2F Strong Grapple B reversal</t>
  </si>
  <si>
    <t>30 Strong Grapple B reversal</t>
  </si>
  <si>
    <t>31 Strong Grapple B reversal</t>
  </si>
  <si>
    <t>32 Strong Grapple B side</t>
  </si>
  <si>
    <t>33 Strong Grapple B side reversal</t>
  </si>
  <si>
    <t>34 Strong Grapple B side reversal</t>
  </si>
  <si>
    <t>35 Strong Grapple B side reversal</t>
  </si>
  <si>
    <t>36 Strong Grapple B side reversal</t>
  </si>
  <si>
    <t>37 Strong Grapple B up</t>
  </si>
  <si>
    <t>38 Strong Grapple B up reversal</t>
  </si>
  <si>
    <t>39 Strong Grapple B up reversal</t>
  </si>
  <si>
    <t>3A Strong Grapple B up reversal</t>
  </si>
  <si>
    <t>3B Strong Grapple B up reversal</t>
  </si>
  <si>
    <t>3C Strong Grapple B down</t>
  </si>
  <si>
    <t>3D Strong Grapple B down reversal</t>
  </si>
  <si>
    <t>3E Strong Grapple B down reversal</t>
  </si>
  <si>
    <t>3F Strong Grapple B down reversal</t>
  </si>
  <si>
    <t>40 Strong Grapple B down reversal</t>
  </si>
  <si>
    <t>46 Front Special</t>
  </si>
  <si>
    <t>47 2nd Special</t>
  </si>
  <si>
    <t>48 Stolen Special</t>
  </si>
  <si>
    <t>49 Weak Back Grapple A</t>
  </si>
  <si>
    <t>4A Weak Back Grapple A pad</t>
  </si>
  <si>
    <t>4B Weak Back Grapple B</t>
  </si>
  <si>
    <t>4C Weak Back Grapple B pad</t>
  </si>
  <si>
    <t>4D Strong Back Grapple A</t>
  </si>
  <si>
    <t>4E Strong Back Grapple A pad</t>
  </si>
  <si>
    <t>4F Strong Back Grapple B</t>
  </si>
  <si>
    <t>50 Strong Back Grapple B pad</t>
  </si>
  <si>
    <t>51 Back Special</t>
  </si>
  <si>
    <t>52 2nd Back Special</t>
  </si>
  <si>
    <t>53 Stolen Back Special</t>
  </si>
  <si>
    <t>54 Weak Back Grapple Reversal</t>
  </si>
  <si>
    <t>55 Strong Back Grapple Reversal</t>
  </si>
  <si>
    <t>00: Title Screen</t>
  </si>
  <si>
    <t>01: Main Menu</t>
  </si>
  <si>
    <t>02: Select Arena</t>
  </si>
  <si>
    <t>03: Select Players/Controllers</t>
  </si>
  <si>
    <t>04: Select Match Type (Single, Tag, Battle Royal, two Eliminations)</t>
  </si>
  <si>
    <t>05: Team Battle/Random (Battle Royal)</t>
  </si>
  <si>
    <t>06: Selecting how many people are on a team (Battle Royal)</t>
  </si>
  <si>
    <t>07: Wrestlers/Team (Elimination)</t>
  </si>
  <si>
    <t>08: League Standing I think</t>
  </si>
  <si>
    <t>09: Select Title to put on the line</t>
  </si>
  <si>
    <t>0A: Data sub-menu</t>
  </si>
  <si>
    <t>0B: Select Belt Design</t>
  </si>
  <si>
    <t>0C: Set up Rally</t>
  </si>
  <si>
    <t>0D: Ranking thing</t>
  </si>
  <si>
    <t>0E: Options Menu</t>
  </si>
  <si>
    <t>0F: Sound Options</t>
  </si>
  <si>
    <t>10: Edit Controls</t>
  </si>
  <si>
    <t>11: Match Options?</t>
  </si>
  <si>
    <t>12: VS. Screen (with uninitialized data it will ask you who is controlling who)</t>
  </si>
  <si>
    <t>13: Select Wrestler</t>
  </si>
  <si>
    <t>14: another Select Wrestler</t>
  </si>
  <si>
    <t>15: Battle Royal Results Screen</t>
  </si>
  <si>
    <t>16: Results (Rematch/Continue)</t>
  </si>
  <si>
    <t>17: Some sort of name entry screen (used for Belt Name)</t>
  </si>
  <si>
    <t>18: Main Edit Menu</t>
  </si>
  <si>
    <t>19: Profile Edit</t>
  </si>
  <si>
    <t>1A: Costume Edit</t>
  </si>
  <si>
    <t>1B: Move List Edit</t>
  </si>
  <si>
    <t>1C: Parameter Edit</t>
  </si>
  <si>
    <t>1D: AI Edit</t>
  </si>
  <si>
    <t>1E: Records (Belt/Wrestler ? /Wrestler ?/Exhibition Match Record)</t>
  </si>
  <si>
    <t>1F: Empty [Takes whatever background there is at the time]</t>
  </si>
  <si>
    <t>20: Empty [Takes whatever background there is like in 1F]</t>
  </si>
  <si>
    <t>21: Go into match (hilarious without any data, yet possible to exit)</t>
  </si>
  <si>
    <t>22 and above: weird boxes</t>
  </si>
  <si>
    <t>00000000</t>
  </si>
  <si>
    <t>Right most byte</t>
  </si>
  <si>
    <t>00000001</t>
  </si>
  <si>
    <t>Special was on when grapple commenced</t>
  </si>
  <si>
    <t>00000010</t>
  </si>
  <si>
    <t>Super Special was on when grapple commenced</t>
  </si>
  <si>
    <t>00000100</t>
  </si>
  <si>
    <t>Strong Grapple</t>
  </si>
  <si>
    <t>00001000</t>
  </si>
  <si>
    <t>Irish Whip?</t>
  </si>
  <si>
    <t>00010000</t>
  </si>
  <si>
    <t>Rising Grapple</t>
  </si>
  <si>
    <t>00100000</t>
  </si>
  <si>
    <t>Apron to Ring Grapple (see below too)</t>
  </si>
  <si>
    <t>01000000</t>
  </si>
  <si>
    <t>Running Grapple</t>
  </si>
  <si>
    <t>10000000</t>
  </si>
  <si>
    <t>Rear Grapple</t>
  </si>
  <si>
    <t>Corner Grapple</t>
  </si>
  <si>
    <t>Grapple from ring to Apron</t>
  </si>
  <si>
    <t>Apron to Ring Grapple</t>
  </si>
  <si>
    <t>Front Grapple</t>
  </si>
  <si>
    <t>??</t>
  </si>
  <si>
    <t>Shoot Fighter Grapple</t>
  </si>
  <si>
    <t>Weak Grapple</t>
  </si>
  <si>
    <t>Direct Dash Grapple</t>
  </si>
  <si>
    <t>Bounce off ropes and Dash Grapple</t>
  </si>
  <si>
    <t>Mirrors opp – and if you dash off ropes, theyll do it too</t>
  </si>
  <si>
    <t>Weak Strike</t>
  </si>
  <si>
    <t>Block all the time</t>
  </si>
  <si>
    <t>Pin</t>
  </si>
  <si>
    <t>Flip you over, pause, pin</t>
  </si>
  <si>
    <t>Hard Strike</t>
  </si>
  <si>
    <t>Running Strike or Running Dodge</t>
  </si>
  <si>
    <t>Back off then Dash Strike (B)</t>
  </si>
  <si>
    <t>Back off then Dash Strike (A+B)</t>
  </si>
  <si>
    <t>Bounce off ropes then Dash Strike (B)</t>
  </si>
  <si>
    <t>Bounce off ropes then Dash Strike (A+B)</t>
  </si>
  <si>
    <t>Irish Whip</t>
  </si>
  <si>
    <t>Irish Whip Counter Grapple</t>
  </si>
  <si>
    <t>Pick Up Prone Opp</t>
  </si>
  <si>
    <t>Tapping R button … so will block, pick up to half prone, etc</t>
  </si>
  <si>
    <t>Tapping L button … so will step back, spin dizzy opponent, etc</t>
  </si>
  <si>
    <t>Standing Strike to Prone Opp</t>
  </si>
  <si>
    <t>Ground Grapple on Prone App (whichever is nearest / quickest)</t>
  </si>
  <si>
    <t>Constantly weak grapple</t>
  </si>
  <si>
    <t>Grapple</t>
  </si>
  <si>
    <t>Grapple Choice?</t>
  </si>
  <si>
    <t>Combo Strikes?</t>
  </si>
  <si>
    <t>Being Combo Struck</t>
  </si>
  <si>
    <t>Being Grappled</t>
  </si>
  <si>
    <t>Being Whipped Off Ropes?</t>
  </si>
  <si>
    <t>Tapping Buttons (Test of Strength, Prone)</t>
  </si>
  <si>
    <t>Stand Close and Wait (also constantly uses this on apron)</t>
  </si>
  <si>
    <t>Returning to Ring (or is this coming into ring (e.g, to break up pin))</t>
  </si>
  <si>
    <t>Dash into ring</t>
  </si>
  <si>
    <t>Leave Ring (including dash out of ring)</t>
  </si>
  <si>
    <t>Move Closer?</t>
  </si>
  <si>
    <t>Dash to Close Gap</t>
  </si>
  <si>
    <t>Move In and Out – Cautious approach</t>
  </si>
  <si>
    <t>Go Behind Grapple Counter?  Manifests itself as a strong grapple</t>
  </si>
  <si>
    <t>Back Away</t>
  </si>
  <si>
    <t>Blocking</t>
  </si>
  <si>
    <t>Pressing R button to counter strike / top rope strike?</t>
  </si>
  <si>
    <t>Close in on dizzy opp with Special up .. or just generally move closer?</t>
  </si>
  <si>
    <t>Taunt</t>
  </si>
  <si>
    <t>Special Taunt</t>
  </si>
  <si>
    <t>Dash Corner Strike</t>
  </si>
  <si>
    <t>Recovering from Dizzy / Counter / Knockback</t>
  </si>
  <si>
    <t>Recovering Attack</t>
  </si>
  <si>
    <t>Standing Over Recovering Opp</t>
  </si>
  <si>
    <t>Irish Whip Weak Strike Counter</t>
  </si>
  <si>
    <t>Dash Tope/Baseball Slide (D Pad Neutral)</t>
  </si>
  <si>
    <t>Dash Tope (D Pad Direction)</t>
  </si>
  <si>
    <t>Dash Tope Feint</t>
  </si>
  <si>
    <t>Top Rope Flying Attack (opp standing or prone, includes taunt sometimes)</t>
  </si>
  <si>
    <t>Will drop down if opp out of range or moving</t>
  </si>
  <si>
    <t>Go to Apron and Springboard Attack (opp standing or prone)</t>
  </si>
  <si>
    <t>Non legal man, trying to break up pin OR trying to prevent pin from being broken up</t>
  </si>
  <si>
    <t>Caught Opp With Catch Throw</t>
  </si>
  <si>
    <t>Caught With Catch Throw (and pressing A?)</t>
  </si>
  <si>
    <t>Set up (and then perform) Running Ground Strike</t>
  </si>
  <si>
    <t>Ground Grapple (Face Up Head)</t>
  </si>
  <si>
    <t>Ground Grapple (Face Down at Head)</t>
  </si>
  <si>
    <t>Ground Grapple (Face Up at Legs)</t>
  </si>
  <si>
    <t>Ground Grapple (Face Down at Legs)</t>
  </si>
  <si>
    <t>Move to Avoid Top Rope move?</t>
  </si>
  <si>
    <t>Elbow drop from apron?</t>
  </si>
  <si>
    <t>Flip off ropes (lionsault, elbow)</t>
  </si>
  <si>
    <t>Rotating Standing Opponent to face other way?</t>
  </si>
  <si>
    <t>Get Weapon</t>
  </si>
  <si>
    <t>Mount Position (On Top)</t>
  </si>
  <si>
    <t>Mount Position (On Bottom)</t>
  </si>
  <si>
    <t>Direct Dash Strike (A)</t>
  </si>
  <si>
    <t>Direct Dash Strike (A+B)</t>
  </si>
  <si>
    <t>Bounce off Rope and Running Strike (B)</t>
  </si>
  <si>
    <t>Bounce off Rope and Running Strike (A+B)</t>
  </si>
  <si>
    <t>Bounce off other Rope and Running Grapple</t>
  </si>
  <si>
    <t>Drag Opp by Foot or Hop Over Opponent to get into better position?</t>
  </si>
  <si>
    <t>Leapfrog?</t>
  </si>
  <si>
    <t>Run along apron to get into position (only do this when opp’s health low)</t>
  </si>
  <si>
    <t>84</t>
  </si>
  <si>
    <t>Stop running</t>
  </si>
  <si>
    <t>Can be assisted – performing move</t>
  </si>
  <si>
    <t>Can be assisted – on receiving end of move</t>
  </si>
  <si>
    <t>Submission / Repeating Move / Pinfall / On Shoulders</t>
  </si>
  <si>
    <t>Dunno what this is ...changes to this after being in a submission move for first time?</t>
  </si>
  <si>
    <t>Holding Arms behind back</t>
  </si>
  <si>
    <t>A44DB Byte 1 (furthest right)</t>
  </si>
  <si>
    <t>0    0 0  0 0 0 0 1  =  TKO (01)</t>
  </si>
  <si>
    <t>0    0  0  0 0 0 1 0  = Rope Break (02)</t>
  </si>
  <si>
    <t>0    0  0  0 0 1 0 0  =  Lumberjack (04)</t>
  </si>
  <si>
    <t>0    0  0  0 1 0 0 0  =  Quick Match (08)</t>
  </si>
  <si>
    <t>0    0  0  1 0 0 0 0  =  Give Up (10)</t>
  </si>
  <si>
    <t>0    0  1  0 0 0 0 0  =  Pinfall (20)</t>
  </si>
  <si>
    <t>0    1  0  0 0 0 0 0  =  Texas Tornado (40)</t>
  </si>
  <si>
    <t>Offset 5C in player map (halfword, 16bit)</t>
  </si>
  <si>
    <t>Invincible – cant be struck or grappled</t>
  </si>
  <si>
    <t>In Air</t>
  </si>
  <si>
    <t>In Ring</t>
  </si>
  <si>
    <t>On Apron</t>
  </si>
  <si>
    <t>Ringside</t>
  </si>
  <si>
    <t>On Ramp</t>
  </si>
  <si>
    <t>Leaving?  i.e., leaving ring or getting down from apron</t>
  </si>
  <si>
    <t>Prone</t>
  </si>
  <si>
    <t>Running</t>
  </si>
  <si>
    <t>= [Sound] NONE</t>
  </si>
  <si>
    <t>Toki FX No is in the left column, sound FX number is in the right column</t>
  </si>
  <si>
    <t xml:space="preserve"> = [Sound] Multiple Bell Rings (at end of match)</t>
  </si>
  <si>
    <t xml:space="preserve"> = [Sound] rope creak / rattle</t>
  </si>
  <si>
    <t>0003</t>
  </si>
  <si>
    <t xml:space="preserve"> = [Sound] Mat noise (footsteps / movement)</t>
  </si>
  <si>
    <t xml:space="preserve"> = [Sound] Cage rattle (used in cage smash reversal)</t>
  </si>
  <si>
    <t>0005</t>
  </si>
  <si>
    <t xml:space="preserve"> = [Sound] Mid pitched impact (often floor impact)</t>
  </si>
  <si>
    <t>0006</t>
  </si>
  <si>
    <t xml:space="preserve"> = [Sound] Floor impact (ringside)</t>
  </si>
  <si>
    <t>0007</t>
  </si>
  <si>
    <t xml:space="preserve"> = [Sound] Short rattle</t>
  </si>
  <si>
    <t xml:space="preserve"> = [Sound] Small Impact noise (often used for turnbuckles)</t>
  </si>
  <si>
    <t>0009</t>
  </si>
  <si>
    <t xml:space="preserve"> = [Sound] Thrown into ring post. dong!</t>
  </si>
  <si>
    <t xml:space="preserve"> = [Sound] Squeak (usually footwear on canvas)</t>
  </si>
  <si>
    <t>000B</t>
  </si>
  <si>
    <t xml:space="preserve"> = [Sound] High pitched small impact thud</t>
  </si>
  <si>
    <t>000C</t>
  </si>
  <si>
    <t xml:space="preserve"> = [Sound] Snap of weak chop / strike hitting (rarely used)</t>
  </si>
  <si>
    <t>000E</t>
  </si>
  <si>
    <t xml:space="preserve"> = [Sound] Medium impact thud</t>
  </si>
  <si>
    <t xml:space="preserve"> = [Sound] Very small thud/click (rarely used)</t>
  </si>
  <si>
    <t>0011</t>
  </si>
  <si>
    <t xml:space="preserve"> = [Rumble] Smack</t>
  </si>
  <si>
    <t>0012</t>
  </si>
  <si>
    <t xml:space="preserve"> = [Rumble] Big Smack / Crunch</t>
  </si>
  <si>
    <t>0014</t>
  </si>
  <si>
    <t xml:space="preserve"> = [Rumble] Small Impact (Strike being blocked)</t>
  </si>
  <si>
    <t>0015</t>
  </si>
  <si>
    <t xml:space="preserve"> = [Rumble] Squelch (used in bloodshed, etc)</t>
  </si>
  <si>
    <t>0016</t>
  </si>
  <si>
    <t xml:space="preserve"> = [Rumble] Staccato quiet hit (not used as Toki FX)</t>
  </si>
  <si>
    <t>0017</t>
  </si>
  <si>
    <t xml:space="preserve"> = [Sound] Small Snap / Slap</t>
  </si>
  <si>
    <t>0018</t>
  </si>
  <si>
    <t xml:space="preserve"> = [Rumble] Smallest Mat Impact and Bounce</t>
  </si>
  <si>
    <t>0019</t>
  </si>
  <si>
    <t xml:space="preserve"> = [Rumble] Small Mat Impact and Bounce</t>
  </si>
  <si>
    <t>001A</t>
  </si>
  <si>
    <t xml:space="preserve"> = [Rumble] Medium Mat Impact and Bounce</t>
  </si>
  <si>
    <t>001B</t>
  </si>
  <si>
    <t xml:space="preserve"> = [Rumble] Big  Mat Impact and Bounce</t>
  </si>
  <si>
    <t>001C</t>
  </si>
  <si>
    <t xml:space="preserve"> = [Rumble] Really Big Mat Impact and Bounce</t>
  </si>
  <si>
    <t>001D</t>
  </si>
  <si>
    <t xml:space="preserve"> = [Rumble] Largest Mat Impact and Bounce</t>
  </si>
  <si>
    <t>001E</t>
  </si>
  <si>
    <t xml:space="preserve"> = Small quick impact noise used in submission holds?</t>
  </si>
  <si>
    <t>001F</t>
  </si>
  <si>
    <t xml:space="preserve"> = [Sound] Whoosh noise of strike going through air</t>
  </si>
  <si>
    <t xml:space="preserve"> = [Sound] Slower whoosh noise of strike going through air</t>
  </si>
  <si>
    <t>0021</t>
  </si>
  <si>
    <t xml:space="preserve"> = [Sound] Creak / stretch of submission move</t>
  </si>
  <si>
    <t xml:space="preserve"> = [Sound] Tap Out bone crack</t>
  </si>
  <si>
    <t>0025</t>
  </si>
  <si>
    <t xml:space="preserve"> = [Sound] Pingy bell sound (groin-shot)</t>
  </si>
  <si>
    <t>0026</t>
  </si>
  <si>
    <t xml:space="preserve"> = [Sound] Staccato quiet hit (sounds truncated) (not used as Toki FX)</t>
  </si>
  <si>
    <t>0028</t>
  </si>
  <si>
    <t xml:space="preserve"> = [Sound] Metallic rattle / clatter (retrieving weapon and cage noises)</t>
  </si>
  <si>
    <t>0029</t>
  </si>
  <si>
    <t xml:space="preserve"> = [Sound] Cage Metallic Ping (thrown off cage, etc)</t>
  </si>
  <si>
    <t>002A</t>
  </si>
  <si>
    <t xml:space="preserve"> = [Sound] Loud smack / snap (allocated, but not used as Toki FX)</t>
  </si>
  <si>
    <t>000D</t>
  </si>
  <si>
    <t xml:space="preserve"> = [Sound] Squelchy Impact (eye and back rakes)</t>
  </si>
  <si>
    <t xml:space="preserve"> = [Sound] Dull Thud Impact (very rarely used)</t>
  </si>
  <si>
    <t>0013</t>
  </si>
  <si>
    <t xml:space="preserve"> = [Sound] Punchy Snap / Whack (often used for strike catches)</t>
  </si>
  <si>
    <t xml:space="preserve"> = [Sound] soft crowd?</t>
  </si>
  <si>
    <t>002C</t>
  </si>
  <si>
    <t xml:space="preserve"> = [Sound] crowd "oh"?</t>
  </si>
  <si>
    <t>002D</t>
  </si>
  <si>
    <t xml:space="preserve"> = [Sound] louder crowd?</t>
  </si>
  <si>
    <t>002E</t>
  </si>
  <si>
    <t xml:space="preserve"> = [Sound] loud crowd?</t>
  </si>
  <si>
    <t>002F</t>
  </si>
  <si>
    <t xml:space="preserve"> = [Sound] Crowd Discontent / Aggravation / Excitement</t>
  </si>
  <si>
    <t>0030</t>
  </si>
  <si>
    <t xml:space="preserve"> = [Sound] crowd large "Oooh!"</t>
  </si>
  <si>
    <t>00E2</t>
  </si>
  <si>
    <t xml:space="preserve"> = [Sound] Loud thunder of stamping feet</t>
  </si>
  <si>
    <t>0031</t>
  </si>
  <si>
    <t xml:space="preserve"> = [Sound] female screams</t>
  </si>
  <si>
    <t>0032</t>
  </si>
  <si>
    <t xml:space="preserve"> = [Sound] booing (low blow/choke)</t>
  </si>
  <si>
    <t>0034</t>
  </si>
  <si>
    <t xml:space="preserve"> = [Sound] Crowd "1"</t>
  </si>
  <si>
    <t>0035</t>
  </si>
  <si>
    <t xml:space="preserve"> = [Sound] Crowd "2"</t>
  </si>
  <si>
    <t>0036</t>
  </si>
  <si>
    <t xml:space="preserve"> = [Sound] Crowd "3"</t>
  </si>
  <si>
    <t xml:space="preserve"> = [Sound] single ring bell (NOT USED IN TOKI FX)</t>
  </si>
  <si>
    <t xml:space="preserve"> = ?</t>
  </si>
  <si>
    <t xml:space="preserve"> =</t>
  </si>
  <si>
    <t xml:space="preserve"> = [Rumble]</t>
  </si>
  <si>
    <t xml:space="preserve"> = [Rumble] Long Violent Rumble</t>
  </si>
  <si>
    <t xml:space="preserve"> = [Rumble] Long Violent Rumble 2</t>
  </si>
  <si>
    <t xml:space="preserve"> = [Rumble] Longer Medium Rumble</t>
  </si>
  <si>
    <t xml:space="preserve"> = [Rumble] Longer Medium Rumble 2</t>
  </si>
  <si>
    <t>8A</t>
  </si>
  <si>
    <t>8B</t>
  </si>
  <si>
    <t>8C</t>
  </si>
  <si>
    <t>8D</t>
  </si>
  <si>
    <t>8E</t>
  </si>
  <si>
    <t>8F</t>
  </si>
  <si>
    <t xml:space="preserve"> = [Sound] Single Bell</t>
  </si>
  <si>
    <t xml:space="preserve"> = [Sound] two whiffs?</t>
  </si>
  <si>
    <t>9A</t>
  </si>
  <si>
    <t>9B</t>
  </si>
  <si>
    <t>9C</t>
  </si>
  <si>
    <t>9D</t>
  </si>
  <si>
    <t>9E</t>
  </si>
  <si>
    <t>9F</t>
  </si>
  <si>
    <t>A0</t>
  </si>
  <si>
    <t>A1</t>
  </si>
  <si>
    <t>A2</t>
  </si>
  <si>
    <t>A3</t>
  </si>
  <si>
    <t>A4</t>
  </si>
  <si>
    <t>A5</t>
  </si>
  <si>
    <t>A6</t>
  </si>
  <si>
    <t>A7</t>
  </si>
  <si>
    <t xml:space="preserve"> =[Sound] Single Bell</t>
  </si>
  <si>
    <t>A8</t>
  </si>
  <si>
    <t>A9</t>
  </si>
  <si>
    <t>AA</t>
  </si>
  <si>
    <t>AB</t>
  </si>
  <si>
    <t>AC</t>
  </si>
  <si>
    <t>AD</t>
  </si>
  <si>
    <t>AE</t>
  </si>
  <si>
    <t>AF</t>
  </si>
  <si>
    <t>Single Bell</t>
  </si>
  <si>
    <t>Soundbank 01</t>
  </si>
  <si>
    <t>Multiple Bell Rings (at end of match)</t>
  </si>
  <si>
    <t>Rope creak / rattle</t>
  </si>
  <si>
    <t>Mat noise (footsteps / movement)</t>
  </si>
  <si>
    <t>Cage rattle (used in cage smash reversal)</t>
  </si>
  <si>
    <t>Mid pitched impact (often floor impact)</t>
  </si>
  <si>
    <t>Floor impact (ringside)</t>
  </si>
  <si>
    <t>Short rattle (not used in VPW2)</t>
  </si>
  <si>
    <t>Small Impact noise (often used for turnbuckles)</t>
  </si>
  <si>
    <t>Dong – impact with ringpost</t>
  </si>
  <si>
    <t>Squeak (usually footwear on canvas)</t>
  </si>
  <si>
    <t>High pitched small impact thud</t>
  </si>
  <si>
    <t>Snap of weak chop / strike hitting (rarely used)</t>
  </si>
  <si>
    <t>Squelchy Impact (eye and back rakes)</t>
  </si>
  <si>
    <t>Medium impact thud (used a lot)</t>
  </si>
  <si>
    <t>Very small thud/click (rarely used)</t>
  </si>
  <si>
    <t>Dull Thud Impact (very rarely used)</t>
  </si>
  <si>
    <t>Smack</t>
  </si>
  <si>
    <t>Big Smack / Crunch</t>
  </si>
  <si>
    <t>Punchy Snap / Whack (often used for strike catches)</t>
  </si>
  <si>
    <t>Small Impact (Strike being blocked)</t>
  </si>
  <si>
    <t>Squelch (used in bloodshed, etc)</t>
  </si>
  <si>
    <t xml:space="preserve"> Staccato quiet hit (not used as Toki FX)</t>
  </si>
  <si>
    <t>Small snap / slap</t>
  </si>
  <si>
    <t>Smallest Mat Impact and Bounce</t>
  </si>
  <si>
    <t>Small Mat Impact and Bounce</t>
  </si>
  <si>
    <t>Medium Mat Impact and Bounce</t>
  </si>
  <si>
    <t>Big Mat Impact and Bounce</t>
  </si>
  <si>
    <t>Really Big Mat Impact and Bounce</t>
  </si>
  <si>
    <t>Largest Mat Impact and Bounce</t>
  </si>
  <si>
    <t>Small quick impact noise used in submission holds?</t>
  </si>
  <si>
    <t>Whoosh noise of strike going through air</t>
  </si>
  <si>
    <t>Slower whoosh noise of strike going through air</t>
  </si>
  <si>
    <t>Creak / stretch of submission move</t>
  </si>
  <si>
    <t>Creak / stretch of submission move plus groaning</t>
  </si>
  <si>
    <t>Tap out bone crack</t>
  </si>
  <si>
    <t>Tap out bone crack plus painful cry (give up)</t>
  </si>
  <si>
    <t>Pingy bell sound (groin-shot)</t>
  </si>
  <si>
    <t>Staccato quiet hit (sounds truncated) (not used as Toki FX)</t>
  </si>
  <si>
    <t>Funny metal cookie sheet sound? (not even allocated as Toki FX)</t>
  </si>
  <si>
    <t>Metallic rattle / clatter (retrieving weapon and cage noises)</t>
  </si>
  <si>
    <t>Cage Metallic Ping (thrown off cage, etc)</t>
  </si>
  <si>
    <t>Loud smack / snap (allocated, but not used as Toki FX)</t>
  </si>
  <si>
    <t>Low crowd noise</t>
  </si>
  <si>
    <t>Medium crowd cheer</t>
  </si>
  <si>
    <t>Loud crowd cheer</t>
  </si>
  <si>
    <t>Crowd owaah</t>
  </si>
  <si>
    <t>Low oooooohhh</t>
  </si>
  <si>
    <t>Ooooh</t>
  </si>
  <si>
    <t>A couple of female screams</t>
  </si>
  <si>
    <t>Boos and whistles</t>
  </si>
  <si>
    <t>Continuous crowd cheering</t>
  </si>
  <si>
    <t>Crowd ONE!</t>
  </si>
  <si>
    <t>Crowd TWO!</t>
  </si>
  <si>
    <t>Crowd THREE!</t>
  </si>
  <si>
    <t>Ref One</t>
  </si>
  <si>
    <t>Ref Two</t>
  </si>
  <si>
    <t>Ref Three</t>
  </si>
  <si>
    <t>Ref Four</t>
  </si>
  <si>
    <t>Ref Five</t>
  </si>
  <si>
    <t>Ref Six</t>
  </si>
  <si>
    <t>Ref Seven</t>
  </si>
  <si>
    <t>Ref Eight</t>
  </si>
  <si>
    <t>Ref Nine</t>
  </si>
  <si>
    <t>Ref Ten</t>
  </si>
  <si>
    <t>Ref Eleven</t>
  </si>
  <si>
    <t>Ref Twelve</t>
  </si>
  <si>
    <t>Ref Thirteen</t>
  </si>
  <si>
    <t>Ref Fourteen</t>
  </si>
  <si>
    <t>Ref Fifteen</t>
  </si>
  <si>
    <t>Ref Sixteen</t>
  </si>
  <si>
    <t>Ref Seventeen</t>
  </si>
  <si>
    <t>Ref Eighteen</t>
  </si>
  <si>
    <t>Ref Nineteen</t>
  </si>
  <si>
    <t>Ref Twenty!</t>
  </si>
  <si>
    <t>Ref Fight</t>
  </si>
  <si>
    <t>Break</t>
  </si>
  <si>
    <t>Ref Pin Count One (and mat slap)</t>
  </si>
  <si>
    <t>Ref Pin Count Two (and mat slap)</t>
  </si>
  <si>
    <t>Ref Pin Count Threeee! (and mat slap)</t>
  </si>
  <si>
    <t>Ref Count Two!</t>
  </si>
  <si>
    <t>Announcer Three Count Fall</t>
  </si>
  <si>
    <t>Announcer Give Up</t>
  </si>
  <si>
    <t>Announcer Time Up</t>
  </si>
  <si>
    <t>Announcer Draw Game</t>
  </si>
  <si>
    <t>Announcer Ring out</t>
  </si>
  <si>
    <t>Announcer Double Ring Out</t>
  </si>
  <si>
    <t>Announcer Knock Out</t>
  </si>
  <si>
    <t>Announcer Loser</t>
  </si>
  <si>
    <t>Menu Click</t>
  </si>
  <si>
    <t>Menu Select Noise?</t>
  </si>
  <si>
    <t>Menu move noise?</t>
  </si>
  <si>
    <t>Little clicky ping – UI Noise</t>
  </si>
  <si>
    <t>Pause menu click</t>
  </si>
  <si>
    <t>Big noise – whoosh – Start menu?</t>
  </si>
  <si>
    <t>Menu swoosh</t>
  </si>
  <si>
    <t>Pause swoosh</t>
  </si>
  <si>
    <t>Menu swoosh 2</t>
  </si>
  <si>
    <t>Clicky crunch noise</t>
  </si>
  <si>
    <t>Low noise</t>
  </si>
  <si>
    <t>Firework?</t>
  </si>
  <si>
    <t>Noise</t>
  </si>
  <si>
    <t>Hearbeat type?</t>
  </si>
  <si>
    <t>Funny metal noise</t>
  </si>
  <si>
    <t>D7</t>
  </si>
  <si>
    <t>Gah- guwahh – painful wrestler noise</t>
  </si>
  <si>
    <t>D9</t>
  </si>
  <si>
    <t>Oh-ah – wrestler in sub</t>
  </si>
  <si>
    <t>DA</t>
  </si>
  <si>
    <t>Ref Escape!</t>
  </si>
  <si>
    <t>DB</t>
  </si>
  <si>
    <t>Ref Stop!</t>
  </si>
  <si>
    <t>DC</t>
  </si>
  <si>
    <t>Polite applause?</t>
  </si>
  <si>
    <t>DD</t>
  </si>
  <si>
    <t>Louder applause?</t>
  </si>
  <si>
    <t>DE</t>
  </si>
  <si>
    <t>Kohei call??  Big noise</t>
  </si>
  <si>
    <t>DF</t>
  </si>
  <si>
    <t>Another big call</t>
  </si>
  <si>
    <t>A big reverb bell / smash sound (used in unlocks?)</t>
  </si>
  <si>
    <t>E1</t>
  </si>
  <si>
    <t>Reverby metallic clang / sword clash</t>
  </si>
  <si>
    <t>E2</t>
  </si>
  <si>
    <t>Low crowd swoosh</t>
  </si>
  <si>
    <t>E3</t>
  </si>
  <si>
    <t>E9</t>
  </si>
  <si>
    <t>Quiet grunt / oh</t>
  </si>
  <si>
    <t>EB</t>
  </si>
  <si>
    <t>Very quiet give up</t>
  </si>
  <si>
    <t>1st byte – first character</t>
  </si>
  <si>
    <t>1st byte- second character</t>
  </si>
  <si>
    <t>2nd byte – first character</t>
  </si>
  <si>
    <t>2nd byte – second character</t>
  </si>
  <si>
    <t>3rd byte – first character</t>
  </si>
  <si>
    <t>3rd byte – second character</t>
  </si>
  <si>
    <t>4th byte – first character</t>
  </si>
  <si>
    <t>4th byte – second character</t>
  </si>
  <si>
    <t>AKI Hall</t>
  </si>
  <si>
    <t>Normal 1</t>
  </si>
  <si>
    <t>0</t>
  </si>
  <si>
    <t>7</t>
  </si>
  <si>
    <t>3 tag</t>
  </si>
  <si>
    <t>4 singles</t>
  </si>
  <si>
    <t>0130 02A1 0240 02B1 0220 0291 0410</t>
  </si>
  <si>
    <t>801702E0</t>
  </si>
  <si>
    <t>Multiply by 4, then add to 1702E0</t>
  </si>
  <si>
    <t>First byte, second character … looks for either 01, 02 or 04</t>
  </si>
  <si>
    <t>DB5A0 in ROM</t>
  </si>
  <si>
    <t>0130 02A1 0240 02B1 0220 0291 0410 FFFF FFFFFFFF</t>
  </si>
  <si>
    <t>Normal 00 (Singles Main Event)</t>
  </si>
  <si>
    <t># 80105A80: [w] related to RRS events (Z64 0x6AED0)</t>
  </si>
  <si>
    <t>Use arena name</t>
  </si>
  <si>
    <t>Normal card, singles first</t>
  </si>
  <si>
    <t>Opening Night</t>
  </si>
  <si>
    <t>Super Power Series</t>
  </si>
  <si>
    <t>January</t>
  </si>
  <si>
    <t>Aichi</t>
  </si>
  <si>
    <t>01 Matches have 20 minute time limit</t>
  </si>
  <si>
    <t>1702F4</t>
  </si>
  <si>
    <t>01A1 0130 0240 02B1 0220 0410 0491 FFFF FFFFFFFF</t>
  </si>
  <si>
    <t>Normal 01 (Tag Main Event)</t>
  </si>
  <si>
    <t>Used for cities</t>
  </si>
  <si>
    <t>Aichi Ken Gym</t>
  </si>
  <si>
    <t>Normal card, tag match first</t>
  </si>
  <si>
    <t>2nd Event in Tour</t>
  </si>
  <si>
    <t>Summer Action Series</t>
  </si>
  <si>
    <t>February</t>
  </si>
  <si>
    <t>Gifu</t>
  </si>
  <si>
    <t>Normal 2</t>
  </si>
  <si>
    <t>1 guest</t>
  </si>
  <si>
    <t>01A1 0130 0240 02B1 0220 0410 0491</t>
  </si>
  <si>
    <t>801702F4</t>
  </si>
  <si>
    <t>02 Matches have 30 minute time limit</t>
  </si>
  <si>
    <t>170308</t>
  </si>
  <si>
    <t>0130 02A1 0240 02B1 0009 0220 0291 0410 FFFFFFFF</t>
  </si>
  <si>
    <t>New Year Giant Series Opener – Match 5 is Battle Royale</t>
  </si>
  <si>
    <t># each entry is 4 bytes?</t>
  </si>
  <si>
    <t>Also gives opening scene?</t>
  </si>
  <si>
    <t>Gifu Industrial Hall</t>
  </si>
  <si>
    <t>3rd Event in Tour</t>
  </si>
  <si>
    <t>Summer Action Series II</t>
  </si>
  <si>
    <t>March</t>
  </si>
  <si>
    <t>Okayama</t>
  </si>
  <si>
    <t>Asia Tag Card</t>
  </si>
  <si>
    <r>
      <rPr>
        <sz val="11"/>
        <color rgb="FF000000"/>
        <rFont val="Calibri"/>
        <family val="2"/>
      </rPr>
      <t xml:space="preserve">01A1 0130 0240 02B1 </t>
    </r>
    <r>
      <rPr>
        <b/>
        <sz val="11"/>
        <color rgb="FF000000"/>
        <rFont val="Arial"/>
        <family val="2"/>
      </rPr>
      <t>0220</t>
    </r>
    <r>
      <rPr>
        <sz val="11"/>
        <color rgb="FF000000"/>
        <rFont val="Arial"/>
        <family val="2"/>
      </rPr>
      <t xml:space="preserve"> 0410 0406</t>
    </r>
  </si>
  <si>
    <t>801703E4</t>
  </si>
  <si>
    <t>04 Matches have 60 minute time limit</t>
  </si>
  <si>
    <t>17031C</t>
  </si>
  <si>
    <t>000A FFFF FFFFFFFF FFFFFFFF FFFFFFFF FFFFFFFF</t>
  </si>
  <si>
    <t>F A D Singles Tourney</t>
  </si>
  <si>
    <t>Okayama Budoukan</t>
  </si>
  <si>
    <t>FAD Singles Tournament</t>
  </si>
  <si>
    <t>4th Event in Tour</t>
  </si>
  <si>
    <t>Fan Appreciation Day</t>
  </si>
  <si>
    <t>April</t>
  </si>
  <si>
    <t>Chiba</t>
  </si>
  <si>
    <t>Tag Title Card</t>
  </si>
  <si>
    <t>01A1 0130 0240 02B1 0220 0410 0405</t>
  </si>
  <si>
    <t>801703A8</t>
  </si>
  <si>
    <t>170330</t>
  </si>
  <si>
    <t>000B FFFF FFFFFFFF FFFFFFFF FFFFFFFF FFFFFFFF</t>
  </si>
  <si>
    <t>F A D Tag Tourney</t>
  </si>
  <si>
    <t># 0x00 - ??</t>
  </si>
  <si>
    <t>Tour Opening Scene before show</t>
  </si>
  <si>
    <t>Chiba Park Gym</t>
  </si>
  <si>
    <t>FAD Tag Tournament</t>
  </si>
  <si>
    <t>5th Event in Tour</t>
  </si>
  <si>
    <t>Giant Series</t>
  </si>
  <si>
    <t>May</t>
  </si>
  <si>
    <t>Budokan</t>
  </si>
  <si>
    <t>TC Card</t>
  </si>
  <si>
    <t>5/6 guests</t>
  </si>
  <si>
    <t>9</t>
  </si>
  <si>
    <t>6 singles</t>
  </si>
  <si>
    <t>0130 01A1 0232 0240 02B3 0220 0312 0491 0404</t>
  </si>
  <si>
    <t>8017036C</t>
  </si>
  <si>
    <t>0312 was Dory v Kobashi</t>
  </si>
  <si>
    <t>First thing that happens is that it cycles through the booking plan and allocates the match types to the 3A offset area – long before it’s decided who is in those matches</t>
  </si>
  <si>
    <t>170344</t>
  </si>
  <si>
    <t>000C FFFF FFFFFFFF FFFFFFFF FFFFFFFF FFFFFFFF</t>
  </si>
  <si>
    <t># 0x01 - ??</t>
  </si>
  <si>
    <t>0 0000</t>
  </si>
  <si>
    <t>Twin Messe</t>
  </si>
  <si>
    <t>0000  00 value = budokan (0)</t>
  </si>
  <si>
    <t>Champion Carnival Round Robin</t>
  </si>
  <si>
    <t>Closing Night of Tour</t>
  </si>
  <si>
    <t>World Tag League</t>
  </si>
  <si>
    <t>June</t>
  </si>
  <si>
    <t>3rd digit</t>
  </si>
  <si>
    <t>1702B8 offset value</t>
  </si>
  <si>
    <t>170358</t>
  </si>
  <si>
    <t>000D FFFF FFFFFFFF FFFFFFFF FFFFFFFF FFFFFFFF</t>
  </si>
  <si>
    <t>1 0001</t>
  </si>
  <si>
    <t>1</t>
  </si>
  <si>
    <t>Niigata City Gym</t>
  </si>
  <si>
    <t>0100  01 value = Dome (4)</t>
  </si>
  <si>
    <t>Tag League Round Robin</t>
  </si>
  <si>
    <t>Tournament – Round Robin</t>
  </si>
  <si>
    <t>New Year Giant Series</t>
  </si>
  <si>
    <t>July</t>
  </si>
  <si>
    <t>80154F64 – SLTI 0A</t>
  </si>
  <si>
    <t>This is the code that cycles through slotting tag or singles matches into full card</t>
  </si>
  <si>
    <t>17036C</t>
  </si>
  <si>
    <t>0130 01A1 0232 0240 02B3 0220 0312 0491 0404 FFFF</t>
  </si>
  <si>
    <t>Budokan Card – Triple Crown Main Event</t>
  </si>
  <si>
    <t># 0x02 - show number, flags?</t>
  </si>
  <si>
    <t>2 0010</t>
  </si>
  <si>
    <t>2</t>
  </si>
  <si>
    <t>Hiroshima Sun Plaza</t>
  </si>
  <si>
    <t xml:space="preserve">1000 </t>
  </si>
  <si>
    <t>02 value = AKI Hall (8)</t>
  </si>
  <si>
    <t>Tournament – Finals</t>
  </si>
  <si>
    <t>Excite Series</t>
  </si>
  <si>
    <t>August</t>
  </si>
  <si>
    <t>06 / 00</t>
  </si>
  <si>
    <t>170380</t>
  </si>
  <si>
    <t>0130 01A1 0132 0240 02B3 0242 0220 0312 0491 0404</t>
  </si>
  <si>
    <t># 76543210</t>
  </si>
  <si>
    <t>3 0011</t>
  </si>
  <si>
    <t>3</t>
  </si>
  <si>
    <t>Promotion / Relegation After Show</t>
  </si>
  <si>
    <t>Kouchi City General Gym</t>
  </si>
  <si>
    <t>1100  03 value = budokan (C)</t>
  </si>
  <si>
    <t>1 Day Event</t>
  </si>
  <si>
    <t>Champion Carnival</t>
  </si>
  <si>
    <t>September</t>
  </si>
  <si>
    <t>Niigata</t>
  </si>
  <si>
    <t>07 / 06</t>
  </si>
  <si>
    <t>Once matches have been allocated … slot P1 in?</t>
  </si>
  <si>
    <t>170394</t>
  </si>
  <si>
    <t>0130 01A1 0232 0240 02B3 0240 0222 0391 0410 0404</t>
  </si>
  <si>
    <t># |||||__|</t>
  </si>
  <si>
    <t>4 0100</t>
  </si>
  <si>
    <t>4</t>
  </si>
  <si>
    <t>0100</t>
  </si>
  <si>
    <t>90</t>
  </si>
  <si>
    <t>Yokohama Cultural Gym</t>
  </si>
  <si>
    <t>Asia Tag Title Match</t>
  </si>
  <si>
    <t>Dome Event</t>
  </si>
  <si>
    <t>October</t>
  </si>
  <si>
    <t>Hiroshima</t>
  </si>
  <si>
    <t>07 / 0D</t>
  </si>
  <si>
    <t>After P1 booked, book tag matches next?  Then singles matches starting from 1st match?</t>
  </si>
  <si>
    <t>1703A8</t>
  </si>
  <si>
    <t>01A1 0130 0240 02B1 0220 0410 0405 FFFF FFFFFFFF</t>
  </si>
  <si>
    <t># |||| |</t>
  </si>
  <si>
    <t>5 0101</t>
  </si>
  <si>
    <t>5</t>
  </si>
  <si>
    <t>0101</t>
  </si>
  <si>
    <t>Matsumoto City Gym</t>
  </si>
  <si>
    <t>Champion Carnival Finals</t>
  </si>
  <si>
    <t>Annual Results</t>
  </si>
  <si>
    <t>November</t>
  </si>
  <si>
    <t>Kouchi City</t>
  </si>
  <si>
    <t>0E / 06</t>
  </si>
  <si>
    <t>Tag Match … already picked Jonny Ace for first wrestler …</t>
  </si>
  <si>
    <t>1703BC</t>
  </si>
  <si>
    <t>01A1 0130 0240 02B3 0220 0291 0410 0405 FFFFFFFF</t>
  </si>
  <si>
    <t># ???? +---- show number</t>
  </si>
  <si>
    <t>6 0110</t>
  </si>
  <si>
    <t>6</t>
  </si>
  <si>
    <t>0110</t>
  </si>
  <si>
    <t>B0</t>
  </si>
  <si>
    <t>Miyagi Sports Centre</t>
  </si>
  <si>
    <t>Tag League Finals</t>
  </si>
  <si>
    <t>Series</t>
  </si>
  <si>
    <t>December</t>
  </si>
  <si>
    <t>05 / 00</t>
  </si>
  <si>
    <t>Then whole process for running through tag rankings to find Barton</t>
  </si>
  <si>
    <t>1703D0</t>
  </si>
  <si>
    <t>01A1 0130 0240 02B1 0220 0291 0410 0405 FFFFFFFF</t>
  </si>
  <si>
    <t>7 0111</t>
  </si>
  <si>
    <t>0111</t>
  </si>
  <si>
    <t>C0</t>
  </si>
  <si>
    <t>Sapporo Nakajima Ath Centre</t>
  </si>
  <si>
    <t>Take last 14 bits</t>
  </si>
  <si>
    <t>Tokyo Dome / Triple Crown Match</t>
  </si>
  <si>
    <t>05 / 05</t>
  </si>
  <si>
    <t>Tweaked some value late in the 80170000 range</t>
  </si>
  <si>
    <t>1703E4</t>
  </si>
  <si>
    <t>01A1 0130 0240 02B1 0220 0410 0406 FFFF FFFFFFFF</t>
  </si>
  <si>
    <t>All Asian Tag Title</t>
  </si>
  <si>
    <t># show number values</t>
  </si>
  <si>
    <t>8 1000</t>
  </si>
  <si>
    <t>8</t>
  </si>
  <si>
    <t>1000</t>
  </si>
  <si>
    <t>D0</t>
  </si>
  <si>
    <t>Osaka Ken Gym</t>
  </si>
  <si>
    <t>Look at 2 bits for arena</t>
  </si>
  <si>
    <t>0A / 00</t>
  </si>
  <si>
    <t>Then ran through singles rankings to find Barton</t>
  </si>
  <si>
    <t>1703F8</t>
  </si>
  <si>
    <t>01A1 0130 0240 02B3 0220 0291 0410 0406 FFFFFFFF</t>
  </si>
  <si>
    <t># 0 = opening event</t>
  </si>
  <si>
    <t>9 1001</t>
  </si>
  <si>
    <t>1001</t>
  </si>
  <si>
    <t>Ishikawa Industrial Exhib Hall</t>
  </si>
  <si>
    <t>4 options</t>
  </si>
  <si>
    <t>Tweaked some other value later in the 80170000 range</t>
  </si>
  <si>
    <t>17040C</t>
  </si>
  <si>
    <t>01A1 0130 0240 02B1 0220 0291 0410 0406 FFFFFFFF</t>
  </si>
  <si>
    <t># 1-4 = (event number + 1)</t>
  </si>
  <si>
    <t>A 1010</t>
  </si>
  <si>
    <t>1010</t>
  </si>
  <si>
    <t>F0</t>
  </si>
  <si>
    <t>Takamatsu City Gym</t>
  </si>
  <si>
    <t>170420</t>
  </si>
  <si>
    <t>0130 01A1 0232 0240 02B3 0220 0312 0491 0007 FFFF</t>
  </si>
  <si>
    <t># 5 = main event</t>
  </si>
  <si>
    <t>B 1011</t>
  </si>
  <si>
    <t>1011</t>
  </si>
  <si>
    <t>Kumamoto City Gym</t>
  </si>
  <si>
    <t>00 is Budokan</t>
  </si>
  <si>
    <t>Then grabbed Bartons ID4 and slotted it into full card</t>
  </si>
  <si>
    <t>170434</t>
  </si>
  <si>
    <t>0130 01A1 0132 0240 02B3 0242 0220 0312 0491 0007</t>
  </si>
  <si>
    <t># 6 = league match</t>
  </si>
  <si>
    <t>C 1100</t>
  </si>
  <si>
    <t>1100</t>
  </si>
  <si>
    <t>Aomori Ken Gym</t>
  </si>
  <si>
    <t>01 is Dome</t>
  </si>
  <si>
    <t>Checks whether it’s less than 70</t>
  </si>
  <si>
    <t>For tag rankings?</t>
  </si>
  <si>
    <t>170448</t>
  </si>
  <si>
    <t>0130 01A1 0232 0240 02B3 0240 0222 0391 0410 0007</t>
  </si>
  <si>
    <t># 7 = deciding match</t>
  </si>
  <si>
    <t>D 1101</t>
  </si>
  <si>
    <t>1101</t>
  </si>
  <si>
    <t>Akita Ken Gym</t>
  </si>
  <si>
    <t>02 is AKI Hall</t>
  </si>
  <si>
    <t>Then called match-booking data (02A1) from stack!!</t>
  </si>
  <si>
    <t>17045C</t>
  </si>
  <si>
    <t>01A1 0130 0240 02B1 0220 0410 0008 FFFF FFFFFFFF</t>
  </si>
  <si>
    <t>Example:</t>
  </si>
  <si>
    <t># 8 = 1 day event</t>
  </si>
  <si>
    <t>E 1110</t>
  </si>
  <si>
    <t>1110</t>
  </si>
  <si>
    <t>Kobe Memorial Hall</t>
  </si>
  <si>
    <t>03 is Budokan</t>
  </si>
  <si>
    <t>170470</t>
  </si>
  <si>
    <t>01A1 0130 0240 02B3 0220 0291 0410 0008 FFFFFFFF</t>
  </si>
  <si>
    <t>#.byte 0x54, 0x09, 0x20, 0x60</t>
  </si>
  <si>
    <t>NY Giant Series Battle Royale Card</t>
  </si>
  <si>
    <t>F 1111</t>
  </si>
  <si>
    <t>1111</t>
  </si>
  <si>
    <t>Hakata Star Lanes</t>
  </si>
  <si>
    <t>170484</t>
  </si>
  <si>
    <t>01A1 0130 0240 02B1 0220 0291 0410 0008 FFFFFFFF</t>
  </si>
  <si>
    <t>54 09 20 06</t>
  </si>
  <si>
    <t># 0x03 - event name and month number</t>
  </si>
  <si>
    <t>Iwate Ken Gym</t>
  </si>
  <si>
    <t>170498</t>
  </si>
  <si>
    <t>154EC8 LW V0,0x5A80(AT)</t>
  </si>
  <si>
    <t>Loads 54 09 20 06 (or other event details)</t>
  </si>
  <si>
    <t>Only leftmost 2 bits (of 8) are used for Arena</t>
  </si>
  <si>
    <t>RNG ultimately</t>
  </si>
  <si>
    <t>1704AC</t>
  </si>
  <si>
    <t>154ECC ANDI A0,V0,0x0000F000</t>
  </si>
  <si>
    <t>Takes 5th character – 2 in this case</t>
  </si>
  <si>
    <t>#D_80105A80:</t>
  </si>
  <si>
    <t>1704C0</t>
  </si>
  <si>
    <t>154ED0 SLTI V0,A0,0x00007000</t>
  </si>
  <si>
    <t>Checks whether it’s less than 7</t>
  </si>
  <si>
    <t>#.byte 0xFF, 0xFF, 0xFF, 0xFF</t>
  </si>
  <si>
    <t>154ED4 BNEZL V0,80154EFC</t>
  </si>
  <si>
    <t>so we’re branching (as less than 7)</t>
  </si>
  <si>
    <t xml:space="preserve">Super Power Series </t>
  </si>
  <si>
    <r>
      <rPr>
        <sz val="10"/>
        <color rgb="FF000000"/>
        <rFont val="Times New Roman"/>
        <family val="1"/>
      </rPr>
      <t>#.byte 0x14, 0x09, 0x</t>
    </r>
    <r>
      <rPr>
        <b/>
        <sz val="11"/>
        <color rgb="FF000000"/>
        <rFont val="Arial"/>
        <family val="2"/>
      </rPr>
      <t>0</t>
    </r>
    <r>
      <rPr>
        <sz val="11"/>
        <color rgb="FF000000"/>
        <rFont val="Arial"/>
        <family val="2"/>
      </rPr>
      <t>0</t>
    </r>
    <r>
      <rPr>
        <sz val="10"/>
        <color rgb="FF000000"/>
        <rFont val="Times New Roman"/>
        <family val="1"/>
      </rPr>
      <t>, 0x04</t>
    </r>
  </si>
  <si>
    <t>Last Digit in 4</t>
  </si>
  <si>
    <t>154ED8 ADDU V0,A0,R0</t>
  </si>
  <si>
    <t>Moving 00002000 into V0</t>
  </si>
  <si>
    <t xml:space="preserve">Opening Date    Korakuen Hall </t>
  </si>
  <si>
    <t>Total tag win rate by summer action series held in August</t>
  </si>
  <si>
    <t>#.byte 0x10, 0x19, 0x01, 0x04</t>
  </si>
  <si>
    <t xml:space="preserve">2nd Date            Aichi Prefectural Gym </t>
  </si>
  <si>
    <t>If you keep at least 70%, you can challenge for the Asian Tag Team Title.</t>
  </si>
  <si>
    <t>#.byte 0x10, 0x2A, 0x12, 0x04</t>
  </si>
  <si>
    <t>154F04 SRA A3,V0,12</t>
  </si>
  <si>
    <t>This has the effect of moving it 3 places to the right</t>
  </si>
  <si>
    <t xml:space="preserve">3rd Date             Gifu Industry Hall </t>
  </si>
  <si>
    <t>It's a chance to win the title, so do your best to win the tag team</t>
  </si>
  <si>
    <t>#.byte 0x10, 0x3A, 0x93, 0x05</t>
  </si>
  <si>
    <t>154F08 SLL V0,A3,2</t>
  </si>
  <si>
    <t>Double and double it again to get 08</t>
  </si>
  <si>
    <t xml:space="preserve">4th Date             Okayama Budoukan                             Asia Tag Championship </t>
  </si>
  <si>
    <t>Let's increase it.</t>
  </si>
  <si>
    <t>#.byte 0x10, 0x4A, 0x84, 0x05</t>
  </si>
  <si>
    <r>
      <rPr>
        <sz val="11"/>
        <color rgb="FF000000"/>
        <rFont val="Calibri"/>
        <family val="2"/>
      </rPr>
      <t xml:space="preserve">0001 0000 0100 </t>
    </r>
    <r>
      <rPr>
        <sz val="11"/>
        <color rgb="FFFF0000"/>
        <rFont val="Calibri"/>
        <family val="2"/>
      </rPr>
      <t>10</t>
    </r>
    <r>
      <rPr>
        <sz val="11"/>
        <color rgb="FF000000"/>
        <rFont val="Calibri"/>
        <family val="2"/>
      </rPr>
      <t>10 1000 0100 0000 0101</t>
    </r>
  </si>
  <si>
    <t>154F0C ADDU V0,V0,A3</t>
  </si>
  <si>
    <t>Add original … so essentially multiplyinh by 5 (0A)</t>
  </si>
  <si>
    <t xml:space="preserve">5th Date             Chiba Park Gymnasium                       World Tag Championship </t>
  </si>
  <si>
    <t>#.byte 0x18, 0x01, 0x75, 0x05</t>
  </si>
  <si>
    <t>154F10 SLL A3,V0,1</t>
  </si>
  <si>
    <t>Then double it to get 20 (so multiply original by 10)</t>
  </si>
  <si>
    <t xml:space="preserve">Closing Date     Nippon Budoukan                                 Triple Crown </t>
  </si>
  <si>
    <t>154F14 ADDU A2,R0,R0</t>
  </si>
  <si>
    <t xml:space="preserve">Summer Action Series </t>
  </si>
  <si>
    <t>#.byte 0x14, 0x09, 0x00, 0x16</t>
  </si>
  <si>
    <t xml:space="preserve">Opening Date    Korakuen Hall </t>
  </si>
  <si>
    <t>154F20 SLL V0,V0,2</t>
  </si>
  <si>
    <t>V0 was 0A (10) – multiply by 4 to get 28 (40d)</t>
  </si>
  <si>
    <t>#.byte 0x10, 0x5A, 0x91, 0x16</t>
  </si>
  <si>
    <t>2nd Date            Twin Messe                                                    Asia Tag Championship</t>
  </si>
  <si>
    <t>Dont know what rightmost 2 bits are used for</t>
  </si>
  <si>
    <t>#.byte 0x10, 0x6A, 0x12, 0x16</t>
  </si>
  <si>
    <t>3rd Date            Niigata City Gymnasium</t>
  </si>
  <si>
    <t>Multiply each number by 20</t>
  </si>
  <si>
    <t>#.byte 0x10, 0x79, 0x03, 0x16</t>
  </si>
  <si>
    <t>4th Date             Hiroshima Sun Plaza</t>
  </si>
  <si>
    <t>#.byte 0x10, 0x8A, 0x84, 0x16</t>
  </si>
  <si>
    <t>5th Date             Kouchi City General Gymnasium         World Tag Championship</t>
  </si>
  <si>
    <t>#.byte 0x10, 0x01, 0x75, 0x16</t>
  </si>
  <si>
    <t xml:space="preserve">Closing Date     Nippon Budoukan                                    Triple Crown </t>
  </si>
  <si>
    <t xml:space="preserve">Summer Action Series II </t>
  </si>
  <si>
    <t>#.byte 0x34, 0x09, 0x00, 0x27</t>
  </si>
  <si>
    <t>Opening Date    Korakuen Hall</t>
  </si>
  <si>
    <t>In fact, a project to hold a fan appreciation day around the end of September is secretly underway.</t>
  </si>
  <si>
    <t>#.byte 0x30, 0x9A, 0x91, 0x27</t>
  </si>
  <si>
    <t>2nd Date            Yokohama Cultural Gymnasium                      Asia Tag Championship</t>
  </si>
  <si>
    <t>However, the decision to hold the event depends on your tag team's performance, so let's focus on winning the tag team match more spiritedly anyway.</t>
  </si>
  <si>
    <t>#.byte 0x30, 0xAA, 0x12, 0x27</t>
  </si>
  <si>
    <t>3rd Date            Matsumoto City Gymnasium</t>
  </si>
  <si>
    <t>#.byte 0x30, 0xB9, 0x03, 0x28</t>
  </si>
  <si>
    <t>4th Date             Miyagi Sports Centre</t>
  </si>
  <si>
    <t>#.byte 0x30, 0xCA, 0x84, 0x28</t>
  </si>
  <si>
    <t>5th Date             Sapporo Nakajima Athletic Centre               World Tag Championship</t>
  </si>
  <si>
    <t>#.byte 0x30, 0x01, 0x75, 0x28</t>
  </si>
  <si>
    <t xml:space="preserve">Closing Date     Nippon Budoukan                                             Triple Crown </t>
  </si>
  <si>
    <t>#.byte 0x42, 0x00, 0x48, 0x38</t>
  </si>
  <si>
    <t>Fan Appreciation Day  Tag Tournament</t>
  </si>
  <si>
    <t>The president professes to give him the right to take on the challenge of the world tag team if he can win this tournament.</t>
  </si>
  <si>
    <t>E = Suddenly, we will hold a fan appreciation day with gratitude to our customers! !</t>
  </si>
  <si>
    <t xml:space="preserve">Giant Series </t>
  </si>
  <si>
    <t>Now, it is the first step to winning the title. Let's go! !</t>
  </si>
  <si>
    <t>#.byte 0x84, 0x0A, 0x90, 0x49</t>
  </si>
  <si>
    <t>Opening Date   Korakuen Hall                                           Asia Tag Championship</t>
  </si>
  <si>
    <t>The world's strongest tag team decision league game of the year-end customary! This day is approaching.</t>
  </si>
  <si>
    <t>#.byte 0x80, 0xDA, 0x81, 0x49</t>
  </si>
  <si>
    <t>2nd Date            Osaka Prefectural Gymnasium          World Tag Championship</t>
  </si>
  <si>
    <t>In order to compete in the world's strongest tag team decision league game, the tag team record must be somewhat high.</t>
  </si>
  <si>
    <t>#.byte 0x80, 0xEA, 0x12, 0x49</t>
  </si>
  <si>
    <t>3rd Date            Isihikawa Industrial Exhibition Hall</t>
  </si>
  <si>
    <t>What about your grades? Let's try to improve the performance of the tag team even now.</t>
  </si>
  <si>
    <t>#.byte 0x80, 0xF9, 0x03, 0x49</t>
  </si>
  <si>
    <t>4th Date             Takamatsu City Gymnasium</t>
  </si>
  <si>
    <t>come on!!</t>
  </si>
  <si>
    <t>#.byte 0x81, 0x09, 0x04, 0x49</t>
  </si>
  <si>
    <t>5th Date             Kumamoto City Gymnasium</t>
  </si>
  <si>
    <t>#.byte 0x88, 0x01, 0x75, 0x49</t>
  </si>
  <si>
    <t>#.byte 0x92, 0x08, 0x66, 0x5A</t>
  </si>
  <si>
    <t xml:space="preserve">November World Tag League </t>
  </si>
  <si>
    <t>Congratulations on participating in the world's strongest tag team decision league game!</t>
  </si>
  <si>
    <t>C= Their friendship could not cross the wall of participating in the world's strongest tag team ...</t>
  </si>
  <si>
    <t>D = congratulations!!</t>
  </si>
  <si>
    <t>Since I came here, there is only a victory! ! Good luck!</t>
  </si>
  <si>
    <t>This year, the series was closed without being selected for selection.</t>
  </si>
  <si>
    <t>The testimony of their friendship is here now...</t>
  </si>
  <si>
    <t>#.byte 0x90, 0x03, 0xB7, 0x5B</t>
  </si>
  <si>
    <t>Budokan!</t>
  </si>
  <si>
    <t xml:space="preserve">December World Tag League </t>
  </si>
  <si>
    <t>I look forward to returning to the next series!!</t>
  </si>
  <si>
    <t>The world's strongest tag team decision league participation decision! !</t>
  </si>
  <si>
    <t xml:space="preserve">New Year Giant Series </t>
  </si>
  <si>
    <t>Opening Date    Korakuen Hall                                    Battle Royale (double duty on this card)</t>
  </si>
  <si>
    <t>In fact, a project to hold a fan appreciation day around the end of January is secretly underway.</t>
  </si>
  <si>
    <t>#.byte 0x51, 0x19, 0x01, 0x60</t>
  </si>
  <si>
    <t>2nd Date             Aomori Prefectural Gymnasium                   </t>
  </si>
  <si>
    <t>But because the decision to hold depends on all your stats</t>
  </si>
  <si>
    <t>#.byte 0x51, 0x2A, 0x12, 0x60</t>
  </si>
  <si>
    <t>3rd Date            Akita Prefectural Gymnasium</t>
  </si>
  <si>
    <t>Let's focus on winning with enthusiasm in both single and tag team battles!</t>
  </si>
  <si>
    <t>#.byte 0x51, 0x3A, 0x93, 0x60</t>
  </si>
  <si>
    <t>4th Date             Kobe World Memorial Hall                       Asia Tag Championship</t>
  </si>
  <si>
    <t>#.byte 0x51, 0x4A, 0x84, 0x60</t>
  </si>
  <si>
    <t>5th Date              Hakata Starlanes                                       World Tag Championship</t>
  </si>
  <si>
    <t>#.byte 0x58, 0x01, 0x75, 0x60</t>
  </si>
  <si>
    <t xml:space="preserve">Closing Date     Budoukan                                               Triple Crown </t>
  </si>
  <si>
    <t>#.byte 0x72, 0x00, 0x38, 0x30</t>
  </si>
  <si>
    <t>January - Fan Appreciation Day  - Single Tournament</t>
  </si>
  <si>
    <t>If the president can win this tournament, he is considering challenging the triple crown in the final game of the next Excite Series.</t>
  </si>
  <si>
    <t xml:space="preserve">Excite Series </t>
  </si>
  <si>
    <t>It is the best title of the whole day, a tournament that can never be dropped to win this. come on!!</t>
  </si>
  <si>
    <t>#.byte 0x04, 0x09, 0x00, 0x71</t>
  </si>
  <si>
    <t>The champion carnival, the biggest single league game, is approaching!.</t>
  </si>
  <si>
    <t>#.byte 0x00, 0xCA, 0x91, 0x71</t>
  </si>
  <si>
    <t>2nd Date             Sapporo Nakajima Athletic Centre            Asia Tag Championship</t>
  </si>
  <si>
    <t>All your achievements will be affected to participate in the Champion Carnival.</t>
  </si>
  <si>
    <t>#.byte 0x01, 0x5A, 0x12, 0x71</t>
  </si>
  <si>
    <t>3rd Date            Iwate Prefectural Gymnasium</t>
  </si>
  <si>
    <t>What about your performance? Let's try to improve the performance even now.</t>
  </si>
  <si>
    <t>#.byte 0x00, 0xD9, 0x03, 0x71</t>
  </si>
  <si>
    <t>4th Date             Osaka Prefectural Gymnasium</t>
  </si>
  <si>
    <t>#.byte 0x01, 0x4A, 0x84, 0x71</t>
  </si>
  <si>
    <t>5th Date             Hakata Starlanes                           World Tag Championship</t>
  </si>
  <si>
    <t>#.byte 0x00, 0x01, 0x75, 0x71</t>
  </si>
  <si>
    <t>#.byte 0x22, 0x08, 0x56, 0x82</t>
  </si>
  <si>
    <t xml:space="preserve">Champion Carnival </t>
  </si>
  <si>
    <t>If you win the Champion Carnival, the tournament will be held at the Dome in May!!</t>
  </si>
  <si>
    <t>A = The road to the Champion Carnival is steep...</t>
  </si>
  <si>
    <t>B = congratulations!!</t>
  </si>
  <si>
    <t>#.byte 0x20, 0x03, 0xA7, 0x83</t>
  </si>
  <si>
    <t>Budoukan!</t>
  </si>
  <si>
    <t>It will be difficult to win, but if the dome tournament is held, there are various benefits, so please aim by all means.</t>
  </si>
  <si>
    <t>Our daily efforts have borne fruit, and we will celebrate this day today.</t>
  </si>
  <si>
    <t>All the one-year performances ended.</t>
  </si>
  <si>
    <t>Champion Carnival participation decision! !</t>
  </si>
  <si>
    <t>#.byte 0x62, 0x05, 0xC8, 0x94</t>
  </si>
  <si>
    <t>Dome</t>
  </si>
  <si>
    <t xml:space="preserve">Dome Taikai      Tokyo Dome                             Single Match (Triple Crown) </t>
  </si>
  <si>
    <t>Come on, this is the last tournament! Wow your fans in the game you deserve at the end.</t>
  </si>
  <si>
    <t>If the end is good, everything is good. I wish you a good fight.</t>
  </si>
  <si>
    <t>See you next year!</t>
  </si>
  <si>
    <t>F = Dome performance to let more people know the appearance of professional wrestling.
I did it again this year.
In May of fresh green, we will declare the dome tournament held at high! !</t>
  </si>
  <si>
    <t>5000 - lay flat no effect</t>
  </si>
  <si>
    <t>16 bit value</t>
  </si>
  <si>
    <t>5100 - 1/4 turn lay flat no effect</t>
  </si>
  <si>
    <t>Leftmost 6 bits are for what to hold and which way up your body is</t>
  </si>
  <si>
    <t>5200 - 1/2 turn lay flat no effect</t>
  </si>
  <si>
    <t>Rightmost 10 bits are for rotation (ANDI 3FF)</t>
  </si>
  <si>
    <t>000 to 3FF is the rotation</t>
  </si>
  <si>
    <t>rotates clockwise – 0x100 is 90 degrees right, 0x200 is 180 degrees, 0x300 is 270 degrees right (so 90 left)</t>
  </si>
  <si>
    <t>5300 - 3/4 turn lay flat no effect</t>
  </si>
  <si>
    <t>5400 - 1/2 turn lay on stomache no effect</t>
  </si>
  <si>
    <t>5500 - 3/4 turn lay on stomache no effect</t>
  </si>
  <si>
    <t>010100</t>
  </si>
  <si>
    <t>50xx</t>
  </si>
  <si>
    <t>Prone, but face up no effect</t>
  </si>
  <si>
    <t>5600 - lay on stomache no effect</t>
  </si>
  <si>
    <t>010101</t>
  </si>
  <si>
    <t>52xx</t>
  </si>
  <si>
    <t>Prone, face down no effect</t>
  </si>
  <si>
    <t>5700 - 1/4 turn lay on stomache no effect</t>
  </si>
  <si>
    <t>000100</t>
  </si>
  <si>
    <t>10xx</t>
  </si>
  <si>
    <t>Standing, dizzy</t>
  </si>
  <si>
    <t>Hold arm</t>
  </si>
  <si>
    <t>Face Down</t>
  </si>
  <si>
    <t>5800 - hold head on side</t>
  </si>
  <si>
    <t>000000</t>
  </si>
  <si>
    <t>00xx</t>
  </si>
  <si>
    <t>Standing</t>
  </si>
  <si>
    <t>5900 - 1/4 turn hold head on stomache</t>
  </si>
  <si>
    <t>010000</t>
  </si>
  <si>
    <t>40xx</t>
  </si>
  <si>
    <t>5a00 - 1/2 turn hold head on side</t>
  </si>
  <si>
    <t>110100</t>
  </si>
  <si>
    <t>D0xx</t>
  </si>
  <si>
    <t>5b00 - 3/4 turn hold head on side</t>
  </si>
  <si>
    <t>011000</t>
  </si>
  <si>
    <t>C0xx</t>
  </si>
  <si>
    <t>Prone, face up, holding arm</t>
  </si>
  <si>
    <t>5c00 - 1/2 turn hold head on stomache</t>
  </si>
  <si>
    <t>011100</t>
  </si>
  <si>
    <t>E0xx</t>
  </si>
  <si>
    <t>Prone, face up, hold back</t>
  </si>
  <si>
    <t>5d00 - 3/4 turn hold head on stomache</t>
  </si>
  <si>
    <t>5e00 - hold head on stomache</t>
  </si>
  <si>
    <t>5f00 - 1/4 turn hold head on stomache</t>
  </si>
  <si>
    <t>Take last two digits and divide by 4??</t>
  </si>
  <si>
    <t>Divide by 0x400 in hex for 16 bit address</t>
  </si>
  <si>
    <t>6000 - hold arm</t>
  </si>
  <si>
    <t>6100 - 1/4 turn hold arm</t>
  </si>
  <si>
    <t>0x00 to 0x03</t>
  </si>
  <si>
    <t>Pin?</t>
  </si>
  <si>
    <t>0x04 to 0x07</t>
  </si>
  <si>
    <t>Standing (used for attacking strikes, stepping onto apron, etc)</t>
  </si>
  <si>
    <t>0x08 to 0x0B</t>
  </si>
  <si>
    <t>Crouching facing forward</t>
  </si>
  <si>
    <t>0x0C to 0x0F</t>
  </si>
  <si>
    <t>Stepping backwards shaking cobwebs</t>
  </si>
  <si>
    <t>6200 - 1/2 turn hold arm</t>
  </si>
  <si>
    <t>0x10 to 0x13</t>
  </si>
  <si>
    <t>Stand up dizzy</t>
  </si>
  <si>
    <t>0x14 to 0x17</t>
  </si>
  <si>
    <t>0x18 to 0x1B</t>
  </si>
  <si>
    <t>If attacker, rear waistlock?</t>
  </si>
  <si>
    <t>0x1C to 0x1F</t>
  </si>
  <si>
    <t>Slumped in corner</t>
  </si>
  <si>
    <t>0x20 to 0x23</t>
  </si>
  <si>
    <t>Slumped facing corner</t>
  </si>
  <si>
    <t>0x24 to 0x27</t>
  </si>
  <si>
    <t>If attacker, end up on top rope</t>
  </si>
  <si>
    <t>0x28 to 0x2B</t>
  </si>
  <si>
    <t>Hanging in tree of woe</t>
  </si>
  <si>
    <t>0x2C to 0x2F</t>
  </si>
  <si>
    <t>0x30 to 0x33</t>
  </si>
  <si>
    <t>If attacker, run off ropes – peoples elbow?</t>
  </si>
  <si>
    <t>0x34 to 0x37</t>
  </si>
  <si>
    <t>0x38 to 0x3B</t>
  </si>
  <si>
    <t>0x3C to 0x3F</t>
  </si>
  <si>
    <t>0x40 to 0x43</t>
  </si>
  <si>
    <t>If attacker, mount position</t>
  </si>
  <si>
    <t>0x44 to 0x47</t>
  </si>
  <si>
    <t>0x48 to 0x4B</t>
  </si>
  <si>
    <t>0x4C to 0x4F</t>
  </si>
  <si>
    <t>6300 - 3/4 turn hold arm</t>
  </si>
  <si>
    <t>0x50 to 0x53</t>
  </si>
  <si>
    <t>Prone, face up, no effect</t>
  </si>
  <si>
    <t>Use these to set up canvas bounce?</t>
  </si>
  <si>
    <t>6400 - 1/2 turn on stomach hold arm</t>
  </si>
  <si>
    <t>0x54 to 0x57</t>
  </si>
  <si>
    <t>Prone, face down, no effect</t>
  </si>
  <si>
    <t>6500 - 3/4 turn on stomach hold arm</t>
  </si>
  <si>
    <t>0x58 to 0x5B</t>
  </si>
  <si>
    <t>Prone, on side, holding back of head</t>
  </si>
  <si>
    <t>6600 - on stomache hold arm</t>
  </si>
  <si>
    <t>0x5C to 0x5F</t>
  </si>
  <si>
    <t>Face down, holding back of head</t>
  </si>
  <si>
    <t>6700 - 1/4 turn on stomache hld arm</t>
  </si>
  <si>
    <t>0x60 to 0x63</t>
  </si>
  <si>
    <t>Face up holding right arm</t>
  </si>
  <si>
    <t>6800 - hold arm</t>
  </si>
  <si>
    <t>0x64 to 0x67</t>
  </si>
  <si>
    <t>face down holding right arm</t>
  </si>
  <si>
    <t>6900 - 1/4 turn hold arm</t>
  </si>
  <si>
    <t>0x68 to 0x6B</t>
  </si>
  <si>
    <t>Face up holding left arm</t>
  </si>
  <si>
    <t>6a00 - 1/2 turn hold arm</t>
  </si>
  <si>
    <t>0x6C to 0x6F</t>
  </si>
  <si>
    <t>Face down holding left arm</t>
  </si>
  <si>
    <t>6b00 - 3/4 turn hold arm</t>
  </si>
  <si>
    <t>0x70 to 0x73</t>
  </si>
  <si>
    <t>Face up holding back</t>
  </si>
  <si>
    <t>6c00 - 1/2 turn on stomache hold arm</t>
  </si>
  <si>
    <t>0x74 to 0x77</t>
  </si>
  <si>
    <t>0x1D</t>
  </si>
  <si>
    <t>face down holding back</t>
  </si>
  <si>
    <t>6d00 - 3/4 turn on stomache hold arm</t>
  </si>
  <si>
    <t>0x78 to 0x7B</t>
  </si>
  <si>
    <t>face up holding stomach</t>
  </si>
  <si>
    <t>6e00 - on stomache hold arm</t>
  </si>
  <si>
    <t>0x7C to 0x7F</t>
  </si>
  <si>
    <t>face down holding stomach</t>
  </si>
  <si>
    <t>6f00 - 1/4 turn on stomache hold arm</t>
  </si>
  <si>
    <t>0x80 to 0x83</t>
  </si>
  <si>
    <t>face up holding right leg</t>
  </si>
  <si>
    <t>0x84 to 0x87</t>
  </si>
  <si>
    <t>0x21</t>
  </si>
  <si>
    <t>face down holding right leg</t>
  </si>
  <si>
    <t>7000 - hold back</t>
  </si>
  <si>
    <t>0x88 to 0x8B</t>
  </si>
  <si>
    <t>face up holding left leg</t>
  </si>
  <si>
    <t>7100 - 1/4 turn hold back</t>
  </si>
  <si>
    <t>0x8C to 0x8F</t>
  </si>
  <si>
    <t>face down holding left leg</t>
  </si>
  <si>
    <t>7200 - 1/2 turn hold back</t>
  </si>
  <si>
    <t>0x90 to 0x93</t>
  </si>
  <si>
    <t>face up holding crotch</t>
  </si>
  <si>
    <t>7300 - 3/4 turn hold back</t>
  </si>
  <si>
    <t>0x94 to 0x97</t>
  </si>
  <si>
    <t>face down holding crotch</t>
  </si>
  <si>
    <t>7400 - 1/2 turn hold back on back</t>
  </si>
  <si>
    <t>0x98 to 0x9B</t>
  </si>
  <si>
    <t>face up flat out?</t>
  </si>
  <si>
    <t>7500 - 3/4 turn hold back on back</t>
  </si>
  <si>
    <t>0x9C to 0x9F</t>
  </si>
  <si>
    <t>face down flat out</t>
  </si>
  <si>
    <t>7600 - hold back on back</t>
  </si>
  <si>
    <t>0xA0 to 0xA3</t>
  </si>
  <si>
    <t>face up holding face</t>
  </si>
  <si>
    <t>7700 - 1/4 turn hold hold back on stomache</t>
  </si>
  <si>
    <t>0xA4 to 0xA7</t>
  </si>
  <si>
    <t>0x29</t>
  </si>
  <si>
    <t>face down holding face</t>
  </si>
  <si>
    <t>7800 - hold stomache on back</t>
  </si>
  <si>
    <t>0xA8 to 0xAB</t>
  </si>
  <si>
    <t>face up holding throat</t>
  </si>
  <si>
    <t>7900 - 1/4 turn hold stomach on back</t>
  </si>
  <si>
    <t>0xAC to 0xAF</t>
  </si>
  <si>
    <t>0x2B</t>
  </si>
  <si>
    <t>face down holding throat</t>
  </si>
  <si>
    <t>7a00 - 1/2 turn hold stomache</t>
  </si>
  <si>
    <t>0xB0 to 0xB3</t>
  </si>
  <si>
    <t>sit up</t>
  </si>
  <si>
    <t>7b00 - 1/4 turn hold stomache</t>
  </si>
  <si>
    <t>0xB4 to 0xB7</t>
  </si>
  <si>
    <t>0x2D</t>
  </si>
  <si>
    <t>on all fours</t>
  </si>
  <si>
    <t>7c00 - 1/2 turn hold stomache on stomache</t>
  </si>
  <si>
    <t>0xB8 to 0xBB</t>
  </si>
  <si>
    <t>if attacker, end up on ground?</t>
  </si>
  <si>
    <t>7d00 - 3/4 turn hold stomache on stomache</t>
  </si>
  <si>
    <t>0xBC to 0xBF</t>
  </si>
  <si>
    <t>0x2F</t>
  </si>
  <si>
    <t>if attacker, end up face down</t>
  </si>
  <si>
    <t>7e00 - hold stomache on stomace</t>
  </si>
  <si>
    <t>0xC0 to 0xC3</t>
  </si>
  <si>
    <t>7f00 - 1/4 turn hold stomach on stomache</t>
  </si>
  <si>
    <t>0xC4 to 0xC7</t>
  </si>
  <si>
    <t>0x31</t>
  </si>
  <si>
    <t>0xC8 to 0xCB</t>
  </si>
  <si>
    <t>8000 - hold leg</t>
  </si>
  <si>
    <t>0xCC to 0xCF</t>
  </si>
  <si>
    <t>0x33</t>
  </si>
  <si>
    <t>8100 - 1/4 turn hold leg</t>
  </si>
  <si>
    <t>8200 - 1/2 turn hold leg</t>
  </si>
  <si>
    <t>8300 - 3/4 turn hold leg</t>
  </si>
  <si>
    <t>0xF8 to FC</t>
  </si>
  <si>
    <t>Attacker facing other way</t>
  </si>
  <si>
    <t>8400 - 1/2 turn on stomach hold leg</t>
  </si>
  <si>
    <t>8500 - 3/4 turn on stomach hold leg</t>
  </si>
  <si>
    <t>8600 - on stomache hold leg</t>
  </si>
  <si>
    <t>8700 - 1/4 turn on stomache hld leg</t>
  </si>
  <si>
    <t>8800 - hold leg</t>
  </si>
  <si>
    <t>8900 - 1/4 turn hold leg</t>
  </si>
  <si>
    <t>8a00 - 1/2 turn hold leg</t>
  </si>
  <si>
    <t>8b00 - 3/4 turn hold leg</t>
  </si>
  <si>
    <t>8c00 - 1/2 turn on stomache hold leg</t>
  </si>
  <si>
    <t>8d00 - 3/4 turn on stomache hold leg</t>
  </si>
  <si>
    <t>8e00 - on stomache hold leg</t>
  </si>
  <si>
    <t>8f00 - 1/4 turn on stomache hold leg</t>
  </si>
  <si>
    <t>9000 - hold crotch</t>
  </si>
  <si>
    <t>9100 - 1/4 turn hold crotch</t>
  </si>
  <si>
    <t>9200 - 1/2 turn hold crotch</t>
  </si>
  <si>
    <t>9300 - 3/4 turn hold crotch</t>
  </si>
  <si>
    <t>9400 - 1/2 turn on stomache hold crotch</t>
  </si>
  <si>
    <t>9500 - 3/4 turn on stomache hold crotch</t>
  </si>
  <si>
    <t>9600 - on stomache hold crotch</t>
  </si>
  <si>
    <t>9700 - 1/4 turn on stomach hold crotch</t>
  </si>
  <si>
    <t>9800 - lay flat no effect</t>
  </si>
  <si>
    <t>9900 - 1/4 turn lay flat no effect</t>
  </si>
  <si>
    <t>9a00 - 1/2 turn lay flat no effect</t>
  </si>
  <si>
    <t>9boo - 3/4 turn lay flat no effect</t>
  </si>
  <si>
    <t>9c00 - 1/2 turn on stomache lay flat no effect</t>
  </si>
  <si>
    <t>9d00 - 3/4 turn on stomache lay flat no effect</t>
  </si>
  <si>
    <t>9e00 - on stomache lay flat no effect</t>
  </si>
  <si>
    <t>9f00 - 1/4 turn on stomach lay flat no effect</t>
  </si>
  <si>
    <t>a000 - hold face</t>
  </si>
  <si>
    <t>a100 - 1/4 turn hold face</t>
  </si>
  <si>
    <t>a200 - 1/2 turn hold face</t>
  </si>
  <si>
    <t>a300 - 3/4 turn hold face</t>
  </si>
  <si>
    <t>a400 - 1/2 turn on stomache hold face</t>
  </si>
  <si>
    <t>a500 - 3/4 turn on stomache hold face</t>
  </si>
  <si>
    <t>a600 - on stomache hold face</t>
  </si>
  <si>
    <t>a700 - 1/4 turn on stomache hold face</t>
  </si>
  <si>
    <t>a800 - hold throte</t>
  </si>
  <si>
    <t>a900 - 1/4 turn hold throte</t>
  </si>
  <si>
    <t>aa00 - 1/2 turn hold throte</t>
  </si>
  <si>
    <t>ab00 - 3/4 turn hold throte</t>
  </si>
  <si>
    <t>ac00 - 1/2 turn on stomache hold throte</t>
  </si>
  <si>
    <t>ad00 - 3/4 turn on stomache hold throte</t>
  </si>
  <si>
    <t>ae00 - on stomache hold throte</t>
  </si>
  <si>
    <t>af00 - 1/4 turn on stomache hold throte</t>
  </si>
  <si>
    <t>b000 - sitting up</t>
  </si>
  <si>
    <t>b100 - 1/4 turn sitting up</t>
  </si>
  <si>
    <t>b200 - 1/2 turn sitting up</t>
  </si>
  <si>
    <t>b300 - 3/4 turn sitting up</t>
  </si>
  <si>
    <t>b400 - 1/2 turn on all fours</t>
  </si>
  <si>
    <t>b500 - 3/4 turn on all fours</t>
  </si>
  <si>
    <t>b600 - on all fours</t>
  </si>
  <si>
    <t>b700 - 1/4 turn on all fours</t>
  </si>
  <si>
    <t>b800 - lay flat no effect</t>
  </si>
  <si>
    <t>b900 - 1/4 turn lay flat no effect</t>
  </si>
  <si>
    <t>ba00 - 1/2 turn lay flat no effect</t>
  </si>
  <si>
    <t>bboo - 3/4 turn lay flat no effect</t>
  </si>
  <si>
    <t>bc00 - 1/2 turn on stomache lay flat no effect</t>
  </si>
  <si>
    <t>bd00 - 3/4 turn on stomache lay flat no effect</t>
  </si>
  <si>
    <t>be00 - on stomache lay flat no effect</t>
  </si>
  <si>
    <t xml:space="preserve">bf00 - 1/4 turn on stomach lay flat no effect </t>
  </si>
  <si>
    <t>70584</t>
  </si>
  <si>
    <t>Intro anim for P1?</t>
  </si>
  <si>
    <t>10494</t>
  </si>
  <si>
    <t>Saves walking anim back to stack 0x18 for intro?</t>
  </si>
  <si>
    <t>0    0  0  0 1 0 0 0  =  (08) - Has mask?</t>
  </si>
  <si>
    <t>Mask ripped on 01</t>
  </si>
  <si>
    <t>A71A0</t>
  </si>
  <si>
    <t>Code for Mask Rip?</t>
  </si>
  <si>
    <t>801266D0</t>
  </si>
  <si>
    <t>Doubleword used in mask rip calculation</t>
  </si>
  <si>
    <t>Doubleword float value used in TKO Revival calculation and Mask Rip?</t>
  </si>
  <si>
    <t>0    0  0  1 0 0 0 0  =  (10) - Has second/manager?</t>
  </si>
  <si>
    <t># 800403B0 (Z64 0x40FB0; data01 bin offset: 0x606C): music file IDs</t>
  </si>
  <si>
    <t>tbl_MusicFileIDs:</t>
  </si>
  <si>
    <t xml:space="preserve">        .short 0xFFFF # 0x00 (no music)</t>
  </si>
  <si>
    <t xml:space="preserve">        .short 0x359  # 0x01 in-match music 1</t>
  </si>
  <si>
    <t xml:space="preserve">        .short 0x35A  # 0x02 in-match music 2</t>
  </si>
  <si>
    <t xml:space="preserve">        .short 0x35B  # 0x03 in-match music 3</t>
  </si>
  <si>
    <t xml:space="preserve">        .short 0x35C  # 0x04 in-match music 4</t>
  </si>
  <si>
    <t xml:space="preserve">        .short 0x35D  # 0x05 in-match music 5</t>
  </si>
  <si>
    <t xml:space="preserve">        .short 0x35E  # 0x06 in-match music 6</t>
  </si>
  <si>
    <t xml:space="preserve">        .short 0x350  # 0x07 game intro music</t>
  </si>
  <si>
    <t xml:space="preserve">        .short 0x351  # 0x08 credits music</t>
  </si>
  <si>
    <t xml:space="preserve">        .short 0x34C  # 0x09 main menu music</t>
  </si>
  <si>
    <t xml:space="preserve">        .short 0x34D  # 0x0A edit mode music</t>
  </si>
  <si>
    <t xml:space="preserve">        .short 0x34E  # 0x0B options menu music</t>
  </si>
  <si>
    <t xml:space="preserve">        .short 0x34F  # 0x0C organ music</t>
  </si>
  <si>
    <t xml:space="preserve">        .short 0x352  # 0x0D Original Song A</t>
  </si>
  <si>
    <t xml:space="preserve">        .short 0x353  # 0x0E Original Song B</t>
  </si>
  <si>
    <t xml:space="preserve">        .short 0x356  # 0x0F unlock song</t>
  </si>
  <si>
    <t xml:space="preserve">        .short 0x357  # 0x10 (same as WCW/nWo Revenge file ID 0x220)</t>
  </si>
  <si>
    <t xml:space="preserve">        .short 0x354  # 0x12 post-match replay music</t>
  </si>
  <si>
    <t xml:space="preserve">        .short 0xFFFF # 0x13 (no music)</t>
  </si>
  <si>
    <t xml:space="preserve">        .short 0x352  # 0x14 Original Song A</t>
  </si>
  <si>
    <t xml:space="preserve">        .short 0x353  # 0x15 Original Song B</t>
  </si>
  <si>
    <t xml:space="preserve">        .short 0 # 0x16 [streamed theme] Giant Baba</t>
  </si>
  <si>
    <t xml:space="preserve">        .short 1 # 0x17 [streamed theme] Mitsuharu Misawa</t>
  </si>
  <si>
    <t xml:space="preserve">        .short 2 # 0x18 [streamed theme] Yoshinari Ogawa</t>
  </si>
  <si>
    <t xml:space="preserve">        .short 3 # 0x19 [streamed theme] Kenta Kobashi</t>
  </si>
  <si>
    <t xml:space="preserve">        .short 4 # 0x1A [streamed theme] Jun Akiyama</t>
  </si>
  <si>
    <t xml:space="preserve">        .short 5 # 0x1B [streamed theme] Toshiaki Kawada</t>
  </si>
  <si>
    <t xml:space="preserve">        .short 6 # 0x1C [streamed theme] Akira Taue</t>
  </si>
  <si>
    <t xml:space="preserve">        .short 7 # 0x1D [streamed theme] Stan Hansen</t>
  </si>
  <si>
    <t xml:space="preserve">        .short 8 # 0x1E [streamed theme] NTV Sports Theme</t>
  </si>
  <si>
    <t xml:space="preserve">        .short 9 # 0x1F [streamed theme] Triple Crown Theme</t>
  </si>
  <si>
    <t>Line of code that sets INTRODUCTION music to track 0007</t>
  </si>
  <si>
    <t>11ACD0 or 11ACDC</t>
  </si>
  <si>
    <t>12C0E2</t>
  </si>
  <si>
    <t>In Intro, changes what SCENE we're on (starting at 0000)</t>
  </si>
  <si>
    <t>801289E0 00010016</t>
  </si>
  <si>
    <t>12A540</t>
  </si>
  <si>
    <t>Ballpark first camera - pan downwards to ring</t>
  </si>
  <si>
    <t>12A548</t>
  </si>
  <si>
    <t>12A560</t>
  </si>
  <si>
    <t>80128C04 0003000E</t>
  </si>
  <si>
    <t>12A5D8</t>
  </si>
  <si>
    <t>801292DC 00000010</t>
  </si>
  <si>
    <t>Ballpark third camera - P1 entrance walk (first part in aisle)</t>
  </si>
  <si>
    <t>8012945C 00000012</t>
  </si>
  <si>
    <t>12A5E8</t>
  </si>
  <si>
    <t>12A5F0</t>
  </si>
  <si>
    <t>801294BC 00000013</t>
  </si>
  <si>
    <t>Ballpark third camera - P2 entrance walk (first part in aisle)</t>
  </si>
  <si>
    <t>8012921C 0000000F</t>
  </si>
  <si>
    <t>12A5D0</t>
  </si>
  <si>
    <t>12A600</t>
  </si>
  <si>
    <t>80129564 00000017</t>
  </si>
  <si>
    <t>Domeroad first camera - pull backwards from stage all the way to ring</t>
  </si>
  <si>
    <t>Domeroad walking towards camera on stage</t>
  </si>
  <si>
    <t>Domeroad - into ring close up at face</t>
  </si>
  <si>
    <t>Another locker room cam - 2nd one (from wrestlers right side)</t>
  </si>
  <si>
    <t>Dome road player 1 - walk out onto stage</t>
  </si>
  <si>
    <t>Domeroad player 2 walk out onto stage</t>
  </si>
  <si>
    <t>Ballpark second camera - locker room (or is this related to music?) - or is this Budokan, and earlier addy is locker room?</t>
  </si>
  <si>
    <t>Ballpartk 4th camera - P2 walking beside blue corner post but also P1 and red post?</t>
  </si>
  <si>
    <t>Ballpark 5th camera - P2 onto apron and through ropes (camera face on) but also P1 from other side?</t>
  </si>
  <si>
    <t>All - second part of announcing - P2 wrestler call</t>
  </si>
  <si>
    <t>All - third part of announcing - P1 wrestler call</t>
  </si>
  <si>
    <t>Dome first cam - rotating around ring, low</t>
  </si>
  <si>
    <t>Aki Hall first camera - low, rotate anti clockwise</t>
  </si>
  <si>
    <t>801288C0 0001000E</t>
  </si>
  <si>
    <t>12A528</t>
  </si>
  <si>
    <t>80128920 00010012</t>
  </si>
  <si>
    <t>80128980 00010013</t>
  </si>
  <si>
    <t>Budokan first cam - pan down from flag</t>
  </si>
  <si>
    <t>12A538</t>
  </si>
  <si>
    <t>12A530</t>
  </si>
  <si>
    <t>80128A40 00010017</t>
  </si>
  <si>
    <t>12A550</t>
  </si>
  <si>
    <t>12A558</t>
  </si>
  <si>
    <t>80128B5C 00020004</t>
  </si>
  <si>
    <t>80128BA4 00010002</t>
  </si>
  <si>
    <t>Static view of ring ropes from inside ring</t>
  </si>
  <si>
    <t>12A568</t>
  </si>
  <si>
    <t>12A570</t>
  </si>
  <si>
    <t>12A578</t>
  </si>
  <si>
    <t>12A580</t>
  </si>
  <si>
    <t>12A588</t>
  </si>
  <si>
    <t>12A590</t>
  </si>
  <si>
    <t>12A598</t>
  </si>
  <si>
    <t>80128C64 00030012</t>
  </si>
  <si>
    <t>80128CC4 00030013</t>
  </si>
  <si>
    <t>80128D98 0002000D</t>
  </si>
  <si>
    <t>80128E00 00010004</t>
  </si>
  <si>
    <t>80128EBC 00010005</t>
  </si>
  <si>
    <t>80128F4C 00010006</t>
  </si>
  <si>
    <t>80128FDC 00010007</t>
  </si>
  <si>
    <t>8012906C 00010008</t>
  </si>
  <si>
    <t>12A5A0</t>
  </si>
  <si>
    <t>12A5A8</t>
  </si>
  <si>
    <t>12A5B0</t>
  </si>
  <si>
    <t>12A5B8</t>
  </si>
  <si>
    <t>12A5C0</t>
  </si>
  <si>
    <t>12A5C8</t>
  </si>
  <si>
    <t>80128E2C 00010009</t>
  </si>
  <si>
    <t>801290B4 0004000A</t>
  </si>
  <si>
    <t>80129114 000A000B</t>
  </si>
  <si>
    <t>80129174 0004000D</t>
  </si>
  <si>
    <t>801291BC 000D000B</t>
  </si>
  <si>
    <t>12A5E0</t>
  </si>
  <si>
    <t>8012939C 00000011</t>
  </si>
  <si>
    <t>12A5F8</t>
  </si>
  <si>
    <t>80129504 00000016</t>
  </si>
  <si>
    <t>12A608</t>
  </si>
  <si>
    <t>12A610</t>
  </si>
  <si>
    <t>12A618</t>
  </si>
  <si>
    <t>12A620</t>
  </si>
  <si>
    <t>12A628</t>
  </si>
  <si>
    <t>12A630</t>
  </si>
  <si>
    <t>12A638</t>
  </si>
  <si>
    <t>12A6F8</t>
  </si>
  <si>
    <t>12A640</t>
  </si>
  <si>
    <t>12A658</t>
  </si>
  <si>
    <t>12A660</t>
  </si>
  <si>
    <t>12A668</t>
  </si>
  <si>
    <t>12A670</t>
  </si>
  <si>
    <t>12A678</t>
  </si>
  <si>
    <t>12A680</t>
  </si>
  <si>
    <t>12A688</t>
  </si>
  <si>
    <t>12A690</t>
  </si>
  <si>
    <t>12A698</t>
  </si>
  <si>
    <t>12A6A0</t>
  </si>
  <si>
    <t>12A6A8</t>
  </si>
  <si>
    <t>12A6B0</t>
  </si>
  <si>
    <t>12A6B8</t>
  </si>
  <si>
    <t>12A6C0</t>
  </si>
  <si>
    <t>12A6C8</t>
  </si>
  <si>
    <t>12A6D0</t>
  </si>
  <si>
    <t>12A6D8</t>
  </si>
  <si>
    <t>12A6E0</t>
  </si>
  <si>
    <t>12A6E8</t>
  </si>
  <si>
    <t>12A6F0</t>
  </si>
  <si>
    <t>801295C4 00000018</t>
  </si>
  <si>
    <t>80129624 00000019</t>
  </si>
  <si>
    <t>80129684 0000001A</t>
  </si>
  <si>
    <t>801296E4 0000001B</t>
  </si>
  <si>
    <t>80129744 0000001C</t>
  </si>
  <si>
    <t>801297A4 0000001D</t>
  </si>
  <si>
    <t>80129804 0000001E</t>
  </si>
  <si>
    <t>80129864 0000001F</t>
  </si>
  <si>
    <t>801298C4 00000020</t>
  </si>
  <si>
    <t>80129924 00000021</t>
  </si>
  <si>
    <t>80129984 00000022</t>
  </si>
  <si>
    <t>80129E90 0025000D</t>
  </si>
  <si>
    <t>80129F38 0025000E</t>
  </si>
  <si>
    <t>80129F80 00250012</t>
  </si>
  <si>
    <t>80129EF0 00250013</t>
  </si>
  <si>
    <t>80129FE0 00250016</t>
  </si>
  <si>
    <t>801299CC 0026000F</t>
  </si>
  <si>
    <t>80129A14 00260010</t>
  </si>
  <si>
    <t>80129A5C 00260011</t>
  </si>
  <si>
    <t>80129ABC 0026000E</t>
  </si>
  <si>
    <t>80129CCC 00260022</t>
  </si>
  <si>
    <t>80129B1C 00260014</t>
  </si>
  <si>
    <t>80129B7C 00260015</t>
  </si>
  <si>
    <t>80129C24 00260016</t>
  </si>
  <si>
    <t>80129C84 00260017</t>
  </si>
  <si>
    <t>8012A040 00250004</t>
  </si>
  <si>
    <t>8012A088 00020024</t>
  </si>
  <si>
    <t>8012A0D0 00020025</t>
  </si>
  <si>
    <t>8012A1C0 0024000E</t>
  </si>
  <si>
    <t>12A648</t>
  </si>
  <si>
    <t>12A650</t>
  </si>
  <si>
    <t>8012A268 00240012</t>
  </si>
  <si>
    <t>8012A118 00240013</t>
  </si>
  <si>
    <t>All - last part of announcer call scene  - zoom out and fade to white</t>
  </si>
  <si>
    <t>All - pan around as fighters limber up, first part of announcing</t>
  </si>
  <si>
    <t>View of red corner, waist up - tag team announcer call?</t>
  </si>
  <si>
    <t>Zoom out from front row of crowd, across ring</t>
  </si>
  <si>
    <t>Pan up from looking at floor - unlock character cam?</t>
  </si>
  <si>
    <t>Pan up high - only usable in Ballpark?</t>
  </si>
  <si>
    <t>Domeroad - walking behind near ring???</t>
  </si>
  <si>
    <t>3rd locker room cam - behind with wrestler framed to left?</t>
  </si>
  <si>
    <t>HIGH UP ABOVE RING LOOKING DOWN - ROYAL ROAD SUCCESSION CAM -  AKI Hall?</t>
  </si>
  <si>
    <t>Static view of ring ropes from inside ring - TOURNAMENT WINNER CAM</t>
  </si>
  <si>
    <t>Pan back and forth near blue corner - ELIMINATION MATCH CAM 1</t>
  </si>
  <si>
    <t>Pan back and forth near neutral corner - ELIMINATION MATCH CAM 2</t>
  </si>
  <si>
    <t>115780</t>
  </si>
  <si>
    <t>Pointer to camera table</t>
  </si>
  <si>
    <t>11578c</t>
  </si>
  <si>
    <t>Camera floating points for intros, etc</t>
  </si>
  <si>
    <t>1157F8</t>
  </si>
  <si>
    <t>Frame count for camera movement in intros</t>
  </si>
  <si>
    <t>Edit Mode Animation Preview (but doesn't show linked anims?)</t>
  </si>
  <si>
    <t>FD040</t>
  </si>
  <si>
    <t>Change this line of code to 0007 to get entrance costume in Game Introduction (then set attire to 4 for wrestler - set it once then leave it)</t>
  </si>
  <si>
    <t>Light Intensity 147CA0 in ROM??</t>
  </si>
  <si>
    <t>A35D0</t>
  </si>
  <si>
    <t>Poly Models File IDs start here for P1</t>
  </si>
  <si>
    <t>vpw.ajworld.net/vpw2/wrestler_modeltex.txt</t>
  </si>
  <si>
    <t>A35D8</t>
  </si>
  <si>
    <t>A35E0</t>
  </si>
  <si>
    <t>A35F0</t>
  </si>
  <si>
    <t>A3610</t>
  </si>
  <si>
    <t>A3600</t>
  </si>
  <si>
    <t>A35E8</t>
  </si>
  <si>
    <t>A35F8</t>
  </si>
  <si>
    <t>Pelvis</t>
  </si>
  <si>
    <t>Texture - 0EA0</t>
  </si>
  <si>
    <t>Palette - 0E9F - Black</t>
  </si>
  <si>
    <t>Lower Body</t>
  </si>
  <si>
    <t>098D, 097A, 0967, 0941, 0954, 092E</t>
  </si>
  <si>
    <t>098C, 0979, 0966, 0940, 0953, 092D</t>
  </si>
  <si>
    <t>0E8C,0E86, 0E8B, 0E85, 0E81, 0E85, 0E64, 0E72, 0E58</t>
  </si>
  <si>
    <t>Upper Body</t>
  </si>
  <si>
    <t>1741</t>
  </si>
  <si>
    <t>0x06 (Colour 1, Colour 2)</t>
  </si>
  <si>
    <t>16E2 for Mohican</t>
  </si>
  <si>
    <t>A3608</t>
  </si>
  <si>
    <t>A3618</t>
  </si>
  <si>
    <t>A3620</t>
  </si>
  <si>
    <t>Side and Back of Head (Top?)</t>
  </si>
  <si>
    <t>Lower Left Leg</t>
  </si>
  <si>
    <t>Upper Left Leg</t>
  </si>
  <si>
    <t>Left Foot</t>
  </si>
  <si>
    <t>Left Palm / Knuckles</t>
  </si>
  <si>
    <t>Left Fingers</t>
  </si>
  <si>
    <t>Left Forearm</t>
  </si>
  <si>
    <t>Left Upper Arm</t>
  </si>
  <si>
    <t>Right Lower Leg</t>
  </si>
  <si>
    <t>Right Upper Leg</t>
  </si>
  <si>
    <t>Right Foot</t>
  </si>
  <si>
    <t>Right Forearm</t>
  </si>
  <si>
    <t>Right Palm / Knuckles</t>
  </si>
  <si>
    <t>Right Fingers</t>
  </si>
  <si>
    <t>Right Upper Arm</t>
  </si>
  <si>
    <t>Face / Mask Front</t>
  </si>
  <si>
    <t>A3628</t>
  </si>
  <si>
    <t>A3630</t>
  </si>
  <si>
    <t>A3640</t>
  </si>
  <si>
    <t>A3650</t>
  </si>
  <si>
    <t>A3660</t>
  </si>
  <si>
    <t>A3670</t>
  </si>
  <si>
    <t>A3658</t>
  </si>
  <si>
    <t>0x98</t>
  </si>
  <si>
    <t>0x00 (Model)</t>
  </si>
  <si>
    <t>0x02 (Texture)</t>
  </si>
  <si>
    <t>0x04 (Palette)</t>
  </si>
  <si>
    <t>Mask Accessory 2</t>
  </si>
  <si>
    <t>Extra Model 1</t>
  </si>
  <si>
    <t>Extra Model 2</t>
  </si>
  <si>
    <t>Extra Model 3</t>
  </si>
  <si>
    <t>0xC0</t>
  </si>
  <si>
    <t>A3698</t>
  </si>
  <si>
    <t>Costume Palettes and Colours only from this point</t>
  </si>
  <si>
    <t>OFFSET</t>
  </si>
  <si>
    <t>ADDRESS</t>
  </si>
  <si>
    <t>Face Accessory - Side and Back of Head</t>
  </si>
  <si>
    <t>Texture</t>
  </si>
  <si>
    <t>Palette 1767 (Facepaint palette) (hard coded?)</t>
  </si>
  <si>
    <t>Face Accessory - Face</t>
  </si>
  <si>
    <t>Face Accessory - Neck (not used)</t>
  </si>
  <si>
    <t>Facepaint - Face</t>
  </si>
  <si>
    <t>Facial Hair</t>
  </si>
  <si>
    <t>Palette 17EE or 17ED (depending on skin colour)</t>
  </si>
  <si>
    <t>Front Hair</t>
  </si>
  <si>
    <t>Palette 17D5 to 17EC (24 options)</t>
  </si>
  <si>
    <t>Main Hair</t>
  </si>
  <si>
    <t>Palette 17B3 to 17D4</t>
  </si>
  <si>
    <t>Palette 179B to 17B2</t>
  </si>
  <si>
    <t>Neck Hair</t>
  </si>
  <si>
    <t>Tattoo Upper Body</t>
  </si>
  <si>
    <t>Tattoo Lower Body</t>
  </si>
  <si>
    <t>Tattoo Lower Left(?) Leg</t>
  </si>
  <si>
    <t>Tattoo Lower Right(?) Leg</t>
  </si>
  <si>
    <t>Palette</t>
  </si>
  <si>
    <t>Palette ID</t>
  </si>
  <si>
    <t>Palette or Subpallete indicator (00 or 01)</t>
  </si>
  <si>
    <t>1769 for normal, 19C9, 19CA, 19CB, 19CC and 19CD For mask</t>
  </si>
  <si>
    <t>Upper Body (Rotated)</t>
  </si>
  <si>
    <t>Subpal colours</t>
  </si>
  <si>
    <t>Upper Arm (L)</t>
  </si>
  <si>
    <t>Lower Arm (L)</t>
  </si>
  <si>
    <t>Upper Arm (Right)</t>
  </si>
  <si>
    <t>Lower Arm (Right)</t>
  </si>
  <si>
    <t>Start of Entrance Attire textures</t>
  </si>
  <si>
    <t>176470</t>
  </si>
  <si>
    <t>40890</t>
  </si>
  <si>
    <t>40892</t>
  </si>
  <si>
    <t>Something else relating to music - countdown to music start?</t>
  </si>
  <si>
    <t>Index of music that should currently be playing?</t>
  </si>
  <si>
    <t>Current Match Type OR menu type</t>
  </si>
  <si>
    <t>Exhibition Match - choose match type</t>
  </si>
  <si>
    <t>Main Menu</t>
  </si>
  <si>
    <t>League</t>
  </si>
  <si>
    <t>Sub menus</t>
  </si>
  <si>
    <t>Taikai</t>
  </si>
  <si>
    <t>Edit</t>
  </si>
  <si>
    <t>Kings Road Succession</t>
  </si>
  <si>
    <t>Tournament</t>
  </si>
  <si>
    <t>Ranking</t>
  </si>
  <si>
    <t>Options</t>
  </si>
  <si>
    <t>Play Music Index 0x000B</t>
  </si>
  <si>
    <t>Play Music Index 0x0009</t>
  </si>
  <si>
    <t>Play Music Index 0x000A</t>
  </si>
  <si>
    <t xml:space="preserve">        .short 0x358  # 0x11 ???? I honestly have no clue. // Victory scene music</t>
  </si>
  <si>
    <t>12C444</t>
  </si>
  <si>
    <t>Current Music Track (for intros, etc) (not menus or in-match)</t>
  </si>
  <si>
    <t>1764E8</t>
  </si>
  <si>
    <t>Tracks menu choices and sub-menus for back button</t>
  </si>
  <si>
    <t>176570</t>
  </si>
  <si>
    <t>Something to do with menus - least significant 7 bits are used to look up a table at 80170996 - used for text input screens?  Last 7 bits determine music, etc</t>
  </si>
  <si>
    <t>170996</t>
  </si>
  <si>
    <t>4 x bytes for each entry</t>
  </si>
  <si>
    <t>First byte is used to determine music that plays?</t>
  </si>
  <si>
    <t>Second byte determines background image?</t>
  </si>
  <si>
    <t>Dunno about third byte</t>
  </si>
  <si>
    <t>Dunno about fourth byte</t>
  </si>
  <si>
    <t xml:space="preserve">Offset 0x44 = </t>
  </si>
  <si>
    <t>Offset 0x3C = New Belt Name Text Input Screen</t>
  </si>
  <si>
    <t>Offset 0x40 = New Title holder Name Text Input Screen</t>
  </si>
  <si>
    <t>Table used for menus (particularly text input menu screens)?  Used in conjunction with 80176570</t>
  </si>
  <si>
    <t>178FB4</t>
  </si>
  <si>
    <t>Tracks which player won the match (will use this to choose winner's music on next screen) - updates results screen (Circle, Cross, Triangle)</t>
  </si>
  <si>
    <t>Match / Battle Royal Entrant 1 / Match participant 1 - used for determining winner's music, etc</t>
  </si>
  <si>
    <t># 8016B538</t>
  </si>
  <si>
    <t>tbl2_8016B538:</t>
  </si>
  <si>
    <t xml:space="preserve">        .short 0xFFD3, 0xFFF6, 0x0000, 0x0000</t>
  </si>
  <si>
    <t xml:space="preserve">        .short 0x002D, 0x000A, 0x007F, 0x001F</t>
  </si>
  <si>
    <t xml:space="preserve">        .short 0xFFCE, 0xFFF4, 0x0000, 0x0000</t>
  </si>
  <si>
    <t xml:space="preserve">        .short 0x0032, 0x000C, 0x007F, 0x001F</t>
  </si>
  <si>
    <t>8016B538</t>
  </si>
  <si>
    <t>FFD3</t>
  </si>
  <si>
    <t>FFF6</t>
  </si>
  <si>
    <t>007F</t>
  </si>
  <si>
    <t>Main Menu Big Icon Text Size</t>
  </si>
  <si>
    <t>8016B548</t>
  </si>
  <si>
    <t>FFCE</t>
  </si>
  <si>
    <t>FFF4</t>
  </si>
  <si>
    <t>Widen to fill Box (zero is widest)</t>
  </si>
  <si>
    <t>Vertical Scaling downwards</t>
  </si>
  <si>
    <t>Vert scaling upwards</t>
  </si>
  <si>
    <t>H scaling to left</t>
  </si>
  <si>
    <t>H scaling to right</t>
  </si>
  <si>
    <t>-45</t>
  </si>
  <si>
    <t>-10</t>
  </si>
  <si>
    <t>127</t>
  </si>
  <si>
    <t>-50</t>
  </si>
  <si>
    <t>-12</t>
  </si>
  <si>
    <t>Main Menu Big Icon Box</t>
  </si>
  <si>
    <t>Vert stretch (zero is widest)</t>
  </si>
  <si>
    <t>8016B7E0</t>
  </si>
  <si>
    <t>Wrestler Select - Wrestler Name Text Size</t>
  </si>
  <si>
    <t>Wrestler Select - Wrestler Name Box</t>
  </si>
  <si>
    <t>8016B7F0</t>
  </si>
  <si>
    <t>Address range        Meaning</t>
  </si>
  <si>
    <t>------------------   -----------------------</t>
  </si>
  <si>
    <t>80115F20–80115F2F    "Budokan"</t>
  </si>
  <si>
    <t>80115F30             00 (end of text)</t>
  </si>
  <si>
    <t>80115F31–80115F40    "TKO Dome"</t>
  </si>
  <si>
    <t>80115F41             00</t>
  </si>
  <si>
    <t>80115F42–80115F51    "AKI Hall"</t>
  </si>
  <si>
    <t>80115F52             00</t>
  </si>
  <si>
    <t>80115F53–80115F62    "Stadium"</t>
  </si>
  <si>
    <t>80115F63             00</t>
  </si>
  <si>
    <t>80115F64–80115F73    "TKO Dome Road"</t>
  </si>
  <si>
    <t>80115F74             00</t>
  </si>
  <si>
    <t>108CC0</t>
  </si>
  <si>
    <t>Pointer to memory address - is this where battery backed up save data is stored in RAM?</t>
  </si>
  <si>
    <t>Pointer to malloc'd data</t>
  </si>
  <si>
    <t>A4510</t>
  </si>
  <si>
    <t>Decompressed (edited) Stable data saved here (17 stables)</t>
  </si>
  <si>
    <t>0x38 each</t>
  </si>
  <si>
    <t>Offset 10 X Torso  – this is written to by 8009D6F0 and …</t>
  </si>
  <si>
    <t xml:space="preserve">X </t>
  </si>
  <si>
    <t xml:space="preserve">Y </t>
  </si>
  <si>
    <t xml:space="preserve">Z </t>
  </si>
  <si>
    <t>Offset 14 Y (up/down)</t>
  </si>
  <si>
    <t>Which player is currently using the 8014D970 area (00000000 to 00000003 for P1 to P4)</t>
  </si>
  <si>
    <t>00,01, 02 or 03</t>
  </si>
  <si>
    <t>15D980</t>
  </si>
  <si>
    <t>15D984</t>
  </si>
  <si>
    <t>15D988</t>
  </si>
  <si>
    <t>15D98C</t>
  </si>
  <si>
    <t>15D990</t>
  </si>
  <si>
    <t>15D992</t>
  </si>
  <si>
    <t>15D994</t>
  </si>
  <si>
    <t>15D996</t>
  </si>
  <si>
    <t>15D998</t>
  </si>
  <si>
    <t>15D9A0</t>
  </si>
  <si>
    <t>15D9A4</t>
  </si>
  <si>
    <t>15D9A8</t>
  </si>
  <si>
    <t>15D9Ac</t>
  </si>
  <si>
    <t>15D9B0</t>
  </si>
  <si>
    <t>15D9B4</t>
  </si>
  <si>
    <t>15D9B8</t>
  </si>
  <si>
    <t>Distance to opponent?</t>
  </si>
  <si>
    <t>15D9BC</t>
  </si>
  <si>
    <t>Pointer to Player 1 Map</t>
  </si>
  <si>
    <t>Player Map Base Address - currently facing opponent player map base addy?</t>
  </si>
  <si>
    <t>Current Player facing direction</t>
  </si>
  <si>
    <t>Who is current player focussing on (taken from offset 0xC of Player Map)</t>
  </si>
  <si>
    <t>00000000 or FFFFFFFF, sometimes 00, 01, 02 or 03</t>
  </si>
  <si>
    <t>Who current player can't focus on (taken from offset 0x10 of Player Map)</t>
  </si>
  <si>
    <t>Is this last player to attack current player (goes to FFFFFFFF if player is grappling?) (taken from offset 0x4)</t>
  </si>
  <si>
    <t>Player Map Base Address - who current player CAN'T focus on</t>
  </si>
  <si>
    <t>Player Map Base Address - last player to attack you(?)</t>
  </si>
  <si>
    <t>Player Map Base Address - Current player</t>
  </si>
  <si>
    <t>Is t0 register always 0?</t>
  </si>
  <si>
    <t>Offset is 0x38 between players</t>
  </si>
  <si>
    <t>P3 Input</t>
  </si>
  <si>
    <t>P4 Input</t>
  </si>
  <si>
    <t>16C0C8</t>
  </si>
  <si>
    <t>16C080</t>
  </si>
  <si>
    <t>16C0B8</t>
  </si>
  <si>
    <t>Controller Input for current player</t>
  </si>
  <si>
    <t>P1 Current Input</t>
  </si>
  <si>
    <t>P2 Current Input</t>
  </si>
  <si>
    <t>16C082</t>
  </si>
  <si>
    <t>16C0BA</t>
  </si>
  <si>
    <t>P2 Instant (new) Input</t>
  </si>
  <si>
    <t>16C0C4</t>
  </si>
  <si>
    <t>16C08A</t>
  </si>
  <si>
    <t>16C08C</t>
  </si>
  <si>
    <t>16C08E</t>
  </si>
  <si>
    <t>16C084</t>
  </si>
  <si>
    <t>16C086</t>
  </si>
  <si>
    <t>16C088</t>
  </si>
  <si>
    <t>Offset between players is 0xC</t>
  </si>
  <si>
    <t>9B154</t>
  </si>
  <si>
    <t>9B158</t>
  </si>
  <si>
    <t>9B15C</t>
  </si>
  <si>
    <t>9B156</t>
  </si>
  <si>
    <t>9B15A</t>
  </si>
  <si>
    <t>Current buttons bitfield</t>
  </si>
  <si>
    <t>Newly pressed this frame</t>
  </si>
  <si>
    <t>Released this frame</t>
  </si>
  <si>
    <t>9B15B</t>
  </si>
  <si>
    <t>Analog stick X</t>
  </si>
  <si>
    <t>Analog stick Y</t>
  </si>
  <si>
    <t>P2 Controller input - address</t>
  </si>
  <si>
    <t>P1 Controller Input - address</t>
  </si>
  <si>
    <t>Signed value</t>
  </si>
  <si>
    <t>Controller Input for current player - rising edge only</t>
  </si>
  <si>
    <t>P1 Instant (new) input this frame (rising edge)</t>
  </si>
  <si>
    <t>0x38+2</t>
  </si>
  <si>
    <t>0x38+4</t>
  </si>
  <si>
    <t>0x38+6</t>
  </si>
  <si>
    <t>0x38+8</t>
  </si>
  <si>
    <t>0x38+A</t>
  </si>
  <si>
    <t>0x38+C</t>
  </si>
  <si>
    <t>0x38+E</t>
  </si>
  <si>
    <t>P1 release input this frame (falling edge)</t>
  </si>
  <si>
    <t>P1 stick X (signed extended from 8 bit value)</t>
  </si>
  <si>
    <t>P1 stick Y (signed extended from 8 bit value)</t>
  </si>
  <si>
    <t>A44DA Byte 2 (2nd from right</t>
  </si>
  <si>
    <t>0    0 0  0 0 0 0 1  =   (01)</t>
  </si>
  <si>
    <t>0    0  0  0 0 0 1 0  =   (02)</t>
  </si>
  <si>
    <t>0    0  0  0 1 0 0 0  =   (08)</t>
  </si>
  <si>
    <t>0    0  0  1 0 0 0 0  =   (10)</t>
  </si>
  <si>
    <t>0    0  1  0 0 0 0 0  =   (20)</t>
  </si>
  <si>
    <t>0    1  0  0 0 0 0 0  =    (40)</t>
  </si>
  <si>
    <t>A44D9</t>
  </si>
  <si>
    <t>0    0  0  0 0 1 0 0  =   (04)</t>
  </si>
  <si>
    <t>0    1  0  0 0 0 0 0  =  Time Limit Decision on  (40)</t>
  </si>
  <si>
    <t>If FFFF, generally means no player</t>
  </si>
  <si>
    <t>If active participant, set to 08 - change it back to this to get P1 back in fight (but no ref voice or count on screen!</t>
  </si>
  <si>
    <t>P1 Successful Moves Counter? (used as tie breaker in Time Limit decision if health equal)</t>
  </si>
  <si>
    <t>006C - Getting struck when prone/down</t>
  </si>
  <si>
    <t>P1 Counts No of Times You Bounce off Ropes – reset when someone else whips you off ropes (max is 2 before the wrestler will stop)</t>
  </si>
  <si>
    <t>P1 Sub Broad Action Mod?  Sub-state Index</t>
  </si>
  <si>
    <t>In ring, ringside, apron, turnbuckle etc – 0008 for ring, 0010 for apron, 0020 for outside, 0040 for ramp – Freem has list, 0800 for running or being whipped</t>
  </si>
  <si>
    <t>P1 in Contact with Ropes?  Changes to FFFE - Remaining Rope Rebounds!</t>
  </si>
  <si>
    <t>C Left</t>
  </si>
  <si>
    <t>0040</t>
  </si>
  <si>
    <t>0080</t>
  </si>
  <si>
    <t>00000000 00000001</t>
  </si>
  <si>
    <t>00000000 00000010</t>
  </si>
  <si>
    <t>00000000 00000100</t>
  </si>
  <si>
    <t>00000000 00001000</t>
  </si>
  <si>
    <t>00000000 00010000</t>
  </si>
  <si>
    <t>00000000 00100000</t>
  </si>
  <si>
    <t>00000000 01000000</t>
  </si>
  <si>
    <t>00000000 10000000</t>
  </si>
  <si>
    <t>00000001 00000000</t>
  </si>
  <si>
    <t xml:space="preserve">00000010 00000000 </t>
  </si>
  <si>
    <t xml:space="preserve">00000100 00000000 </t>
  </si>
  <si>
    <t xml:space="preserve">00001000 00000000 </t>
  </si>
  <si>
    <t xml:space="preserve">00010000 00000000 </t>
  </si>
  <si>
    <t xml:space="preserve">00100000 00000000 </t>
  </si>
  <si>
    <t xml:space="preserve">01000000 00000000 </t>
  </si>
  <si>
    <t xml:space="preserve">10000000 00000000 </t>
  </si>
  <si>
    <t>0200</t>
  </si>
  <si>
    <t>0400</t>
  </si>
  <si>
    <t>2000</t>
  </si>
  <si>
    <t>4000</t>
  </si>
  <si>
    <t>8000</t>
  </si>
  <si>
    <t>Up on D Pad</t>
  </si>
  <si>
    <t>Down on D Pad</t>
  </si>
  <si>
    <t>Left on D Pad</t>
  </si>
  <si>
    <t>Right on D Pad</t>
  </si>
  <si>
    <t>B button</t>
  </si>
  <si>
    <t>L bumper</t>
  </si>
  <si>
    <t>R bumper</t>
  </si>
  <si>
    <t>C Up</t>
  </si>
  <si>
    <t>C Down</t>
  </si>
  <si>
    <t>C Right</t>
  </si>
  <si>
    <t>Start button</t>
  </si>
  <si>
    <t>Running Status</t>
  </si>
  <si>
    <t>8000 when start running, 2000 when bounce off ropes at start, 0009 when dashing towards corner, 0C when dashing towards opp, 0003 for directional dash, 0006 when direct dash, 0013 directional dash on outside, 0200 when player regains control on irish whip</t>
  </si>
  <si>
    <t>Regain control after irish whip</t>
  </si>
  <si>
    <t>Being irish whipped?</t>
  </si>
  <si>
    <t>Towards rope?</t>
  </si>
  <si>
    <t>Towards corner?</t>
  </si>
  <si>
    <t>P1 Current Status / Location (and some actions like running)</t>
  </si>
  <si>
    <t>Orientation running / being whipped: 0 is north, 1 is east, 2 is south and 3 is west (diagonals resolve to one of these vals)</t>
  </si>
  <si>
    <t>??? But was set to 0000 after a TKO – also looked at this when prone and opp going up top (ANDI 0002) - and when bouncing off ropes</t>
  </si>
  <si>
    <t>CPU controlled</t>
  </si>
  <si>
    <t>Ringside/Second</t>
  </si>
  <si>
    <t xml:space="preserve">  </t>
  </si>
  <si>
    <t>Per Frame Movement / Impulse Direction (X)</t>
  </si>
  <si>
    <t>Per Frame Movement / Impulse Direction (Z)</t>
  </si>
  <si>
    <t>Is cleared when you leave a rope bounce</t>
  </si>
  <si>
    <t>P1 Integer heading / angle units</t>
  </si>
  <si>
    <t xml:space="preserve">something to do with animation </t>
  </si>
  <si>
    <t>0x288</t>
  </si>
  <si>
    <t>Target heading?</t>
  </si>
  <si>
    <t>Counts down from 1E</t>
  </si>
  <si>
    <t>P1 1 Second Countdown after Damage Received</t>
  </si>
  <si>
    <t>Has been hit in the last second (30 ticks)</t>
  </si>
  <si>
    <t>P1 Status Address (Special, Super Special, Recently Hit, etc) (e.g, 0x20 is the 30 ticks after damage sustained)</t>
  </si>
  <si>
    <t>Flag set for one tick when wrestler successfully completes a grapple move?</t>
  </si>
  <si>
    <t>Special mode</t>
  </si>
  <si>
    <t>Super Special mode</t>
  </si>
  <si>
    <t>A1064</t>
  </si>
  <si>
    <t>Used for bleeding - texture mask / face for P2?</t>
  </si>
  <si>
    <t>Offset is 0x514 between players - so P1's equivalent is A0B50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</si>
</sst>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rgb="FF000000"/>
      <name val="Calibri"/>
      <family val="2"/>
    </font>
    <font>
      <sz val="10"/>
      <color rgb="FFFFFFFF"/>
      <name val="Arial"/>
      <family val="2"/>
    </font>
    <font>
      <b/>
      <sz val="10"/>
      <color rgb="FF000000"/>
      <name val="Arial"/>
      <family val="2"/>
    </font>
    <font>
      <b/>
      <sz val="10"/>
      <color rgb="FFFFFFFF"/>
      <name val="Arial"/>
      <family val="2"/>
    </font>
    <font>
      <i/>
      <sz val="10"/>
      <color rgb="FF808080"/>
      <name val="Arial"/>
      <family val="2"/>
    </font>
    <font>
      <b/>
      <sz val="24"/>
      <color rgb="FF000000"/>
      <name val="Arial"/>
      <family val="2"/>
    </font>
    <font>
      <u/>
      <sz val="10"/>
      <color rgb="FF0000EE"/>
      <name val="Arial"/>
      <family val="2"/>
    </font>
    <font>
      <b/>
      <i/>
      <u/>
      <sz val="10"/>
      <color rgb="FF000000"/>
      <name val="Arial"/>
      <family val="2"/>
    </font>
    <font>
      <sz val="11"/>
      <color rgb="FF000000"/>
      <name val="Arial"/>
      <family val="2"/>
    </font>
    <font>
      <sz val="10"/>
      <color rgb="FFCC0000"/>
      <name val="Arial"/>
      <family val="2"/>
    </font>
    <font>
      <b/>
      <sz val="11"/>
      <color rgb="FF000000"/>
      <name val="Calibri"/>
      <family val="2"/>
    </font>
    <font>
      <sz val="11"/>
      <color rgb="FFC9211E"/>
      <name val="Calibri"/>
      <family val="2"/>
    </font>
    <font>
      <sz val="10"/>
      <color rgb="FF000000"/>
      <name val="Arial"/>
      <family val="2"/>
    </font>
    <font>
      <sz val="11"/>
      <color rgb="FFC9211E"/>
      <name val="Arial"/>
      <family val="2"/>
    </font>
    <font>
      <sz val="10"/>
      <color rgb="FF000000"/>
      <name val="Times New Roman"/>
      <family val="1"/>
    </font>
    <font>
      <sz val="10"/>
      <color rgb="FF000000"/>
      <name val="Arial Unicode MS"/>
    </font>
    <font>
      <b/>
      <sz val="11"/>
      <color rgb="FF000000"/>
      <name val="Arial"/>
      <family val="2"/>
    </font>
    <font>
      <vertAlign val="superscript"/>
      <sz val="11"/>
      <color rgb="FF000000"/>
      <name val="Calibri"/>
      <family val="2"/>
    </font>
    <font>
      <sz val="10"/>
      <color rgb="FF000000"/>
      <name val="Courier New"/>
      <family val="3"/>
    </font>
    <font>
      <i/>
      <sz val="11"/>
      <color rgb="FF000000"/>
      <name val="Arial"/>
      <family val="2"/>
    </font>
    <font>
      <sz val="11"/>
      <color rgb="FF000000"/>
      <name val="Microsoft YaHei"/>
      <family val="2"/>
    </font>
    <font>
      <i/>
      <sz val="11"/>
      <color rgb="FF000000"/>
      <name val="Calibri"/>
      <family val="2"/>
    </font>
    <font>
      <sz val="11"/>
      <color rgb="FFFF0000"/>
      <name val="Calibri"/>
      <family val="2"/>
    </font>
    <font>
      <u/>
      <sz val="11"/>
      <color theme="10"/>
      <name val="Calibri"/>
      <family val="2"/>
    </font>
  </fonts>
  <fills count="25">
    <fill>
      <patternFill patternType="none"/>
    </fill>
    <fill>
      <patternFill patternType="gray125"/>
    </fill>
    <fill>
      <patternFill patternType="solid">
        <fgColor rgb="FF000000"/>
        <bgColor rgb="FF003300"/>
      </patternFill>
    </fill>
    <fill>
      <patternFill patternType="solid">
        <fgColor rgb="FF808080"/>
        <bgColor rgb="FF5983B0"/>
      </patternFill>
    </fill>
    <fill>
      <patternFill patternType="solid">
        <fgColor rgb="FFDDDDDD"/>
        <bgColor rgb="FFEEEEEE"/>
      </patternFill>
    </fill>
    <fill>
      <patternFill patternType="solid">
        <fgColor rgb="FFCC0000"/>
        <bgColor rgb="FFC9211E"/>
      </patternFill>
    </fill>
    <fill>
      <patternFill patternType="solid">
        <fgColor rgb="FFFFDE59"/>
        <bgColor rgb="FFFFE994"/>
      </patternFill>
    </fill>
    <fill>
      <patternFill patternType="solid">
        <fgColor rgb="FFFFFF00"/>
        <bgColor rgb="FFFFDE59"/>
      </patternFill>
    </fill>
    <fill>
      <patternFill patternType="solid">
        <fgColor rgb="FF99CCFF"/>
        <bgColor rgb="FFB4C7DC"/>
      </patternFill>
    </fill>
    <fill>
      <patternFill patternType="solid">
        <fgColor rgb="FFB4C7DC"/>
        <bgColor rgb="FF99CCFF"/>
      </patternFill>
    </fill>
    <fill>
      <patternFill patternType="solid">
        <fgColor rgb="FFE8F2A1"/>
        <bgColor rgb="FFFFE994"/>
      </patternFill>
    </fill>
    <fill>
      <patternFill patternType="solid">
        <fgColor rgb="FFEEEEEE"/>
        <bgColor rgb="FFFFFFFF"/>
      </patternFill>
    </fill>
    <fill>
      <patternFill patternType="solid">
        <fgColor rgb="FFFFFFA6"/>
        <bgColor rgb="FFE8F2A1"/>
      </patternFill>
    </fill>
    <fill>
      <patternFill patternType="solid">
        <fgColor rgb="FFFFA6A6"/>
        <bgColor rgb="FFEC9BA4"/>
      </patternFill>
    </fill>
    <fill>
      <patternFill patternType="solid">
        <fgColor rgb="FFFFDBB6"/>
        <bgColor rgb="FFFFE994"/>
      </patternFill>
    </fill>
    <fill>
      <patternFill patternType="solid">
        <fgColor rgb="FFFFE994"/>
        <bgColor rgb="FFE8F2A1"/>
      </patternFill>
    </fill>
    <fill>
      <patternFill patternType="solid">
        <fgColor rgb="FFBF819E"/>
        <bgColor rgb="FFEC9BA4"/>
      </patternFill>
    </fill>
    <fill>
      <patternFill patternType="solid">
        <fgColor rgb="FFEC9BA4"/>
        <bgColor rgb="FFFFA6A6"/>
      </patternFill>
    </fill>
    <fill>
      <patternFill patternType="solid">
        <fgColor rgb="FFD4EA6B"/>
        <bgColor rgb="FFE8F2A1"/>
      </patternFill>
    </fill>
    <fill>
      <patternFill patternType="solid">
        <fgColor rgb="FFFFBF00"/>
        <bgColor rgb="FFFF9900"/>
      </patternFill>
    </fill>
    <fill>
      <patternFill patternType="solid">
        <fgColor rgb="FFED4C05"/>
        <bgColor rgb="FFC9211E"/>
      </patternFill>
    </fill>
    <fill>
      <patternFill patternType="solid">
        <fgColor rgb="FF168253"/>
        <bgColor rgb="FF008080"/>
      </patternFill>
    </fill>
    <fill>
      <patternFill patternType="solid">
        <fgColor rgb="FFC9211E"/>
        <bgColor rgb="FFCC0000"/>
      </patternFill>
    </fill>
    <fill>
      <patternFill patternType="solid">
        <fgColor rgb="FF5983B0"/>
        <bgColor rgb="FF808080"/>
      </patternFill>
    </fill>
    <fill>
      <patternFill patternType="solid">
        <fgColor theme="9" tint="0.79998168889431442"/>
        <bgColor indexed="64"/>
      </patternFill>
    </fill>
  </fills>
  <borders count="1">
    <border>
      <left/>
      <right/>
      <top/>
      <bottom/>
      <diagonal/>
    </border>
  </borders>
  <cellStyleXfs count="14">
    <xf numFmtId="0" fontId="0" fillId="0" borderId="0"/>
    <xf numFmtId="0" fontId="1" fillId="2" borderId="0"/>
    <xf numFmtId="0" fontId="1" fillId="3" borderId="0"/>
    <xf numFmtId="0" fontId="2" fillId="4" borderId="0"/>
    <xf numFmtId="0" fontId="2" fillId="0" borderId="0"/>
    <xf numFmtId="0" fontId="3" fillId="5" borderId="0"/>
    <xf numFmtId="0" fontId="4" fillId="0" borderId="0"/>
    <xf numFmtId="0" fontId="5" fillId="0" borderId="0"/>
    <xf numFmtId="0" fontId="6" fillId="0" borderId="0"/>
    <xf numFmtId="0" fontId="7" fillId="0" borderId="0"/>
    <xf numFmtId="0" fontId="8" fillId="0" borderId="0"/>
    <xf numFmtId="0" fontId="8" fillId="0" borderId="0"/>
    <xf numFmtId="0" fontId="9" fillId="0" borderId="0"/>
    <xf numFmtId="0" fontId="23" fillId="0" borderId="0" applyNumberFormat="0" applyFill="0" applyBorder="0" applyAlignment="0" applyProtection="0"/>
  </cellStyleXfs>
  <cellXfs count="100">
    <xf numFmtId="0" fontId="0" fillId="0" borderId="0" xfId="0"/>
    <xf numFmtId="49" fontId="0" fillId="0" borderId="0" xfId="0" applyNumberFormat="1" applyAlignment="1">
      <alignment horizontal="left"/>
    </xf>
    <xf numFmtId="0" fontId="0" fillId="0" borderId="0" xfId="0" applyAlignment="1">
      <alignment horizontal="left"/>
    </xf>
    <xf numFmtId="0" fontId="0" fillId="0" borderId="0" xfId="0" applyAlignment="1">
      <alignment horizontal="right"/>
    </xf>
    <xf numFmtId="49" fontId="0" fillId="0" borderId="0" xfId="0" applyNumberFormat="1"/>
    <xf numFmtId="49" fontId="0" fillId="0" borderId="0" xfId="0" applyNumberFormat="1" applyAlignment="1">
      <alignment horizontal="right"/>
    </xf>
    <xf numFmtId="0" fontId="10" fillId="0" borderId="0" xfId="0" applyFont="1"/>
    <xf numFmtId="0" fontId="8" fillId="0" borderId="0" xfId="0" applyFont="1" applyAlignment="1">
      <alignment horizontal="right"/>
    </xf>
    <xf numFmtId="49" fontId="0" fillId="6" borderId="0" xfId="0" applyNumberFormat="1" applyFill="1" applyAlignment="1">
      <alignment horizontal="left"/>
    </xf>
    <xf numFmtId="0" fontId="0" fillId="6" borderId="0" xfId="0" applyFill="1" applyAlignment="1">
      <alignment horizontal="left"/>
    </xf>
    <xf numFmtId="0" fontId="0" fillId="6" borderId="0" xfId="0" applyFill="1"/>
    <xf numFmtId="0" fontId="0" fillId="6" borderId="0" xfId="0" applyFill="1" applyAlignment="1">
      <alignment horizontal="right"/>
    </xf>
    <xf numFmtId="0" fontId="11" fillId="6" borderId="0" xfId="0" applyFont="1" applyFill="1"/>
    <xf numFmtId="0" fontId="12" fillId="6" borderId="0" xfId="0" applyFont="1" applyFill="1"/>
    <xf numFmtId="0" fontId="8" fillId="6" borderId="0" xfId="0" applyFont="1" applyFill="1"/>
    <xf numFmtId="0" fontId="13" fillId="6" borderId="0" xfId="0" applyFont="1" applyFill="1"/>
    <xf numFmtId="0" fontId="12" fillId="0" borderId="0" xfId="0" applyFont="1"/>
    <xf numFmtId="0" fontId="8" fillId="0" borderId="0" xfId="0" applyFont="1"/>
    <xf numFmtId="0" fontId="0" fillId="0" borderId="0" xfId="0" applyAlignment="1">
      <alignment wrapText="1"/>
    </xf>
    <xf numFmtId="0" fontId="14" fillId="0" borderId="0" xfId="0" applyFont="1" applyAlignment="1">
      <alignment wrapText="1"/>
    </xf>
    <xf numFmtId="0" fontId="15" fillId="0" borderId="0" xfId="0" applyFont="1" applyAlignment="1">
      <alignment vertical="center"/>
    </xf>
    <xf numFmtId="49" fontId="0" fillId="4" borderId="0" xfId="0" applyNumberFormat="1" applyFill="1" applyAlignment="1">
      <alignment horizontal="left"/>
    </xf>
    <xf numFmtId="0" fontId="0" fillId="4" borderId="0" xfId="0" applyFill="1" applyAlignment="1">
      <alignment horizontal="left"/>
    </xf>
    <xf numFmtId="0" fontId="0" fillId="4" borderId="0" xfId="0" applyFill="1"/>
    <xf numFmtId="0" fontId="0" fillId="4" borderId="0" xfId="0" applyFill="1" applyAlignment="1">
      <alignment horizontal="right"/>
    </xf>
    <xf numFmtId="10" fontId="0" fillId="0" borderId="0" xfId="0" applyNumberFormat="1" applyAlignment="1">
      <alignment horizontal="right"/>
    </xf>
    <xf numFmtId="0" fontId="0" fillId="7" borderId="0" xfId="0" applyFill="1" applyAlignment="1">
      <alignment horizontal="right"/>
    </xf>
    <xf numFmtId="0" fontId="0" fillId="8" borderId="0" xfId="0" applyFill="1" applyAlignment="1">
      <alignment horizontal="center" vertical="top" wrapText="1"/>
    </xf>
    <xf numFmtId="9" fontId="0" fillId="0" borderId="0" xfId="0" applyNumberFormat="1"/>
    <xf numFmtId="11" fontId="0" fillId="0" borderId="0" xfId="0" applyNumberFormat="1" applyAlignment="1">
      <alignment horizontal="right"/>
    </xf>
    <xf numFmtId="49" fontId="0" fillId="9" borderId="0" xfId="0" applyNumberFormat="1" applyFill="1" applyAlignment="1">
      <alignment horizontal="left"/>
    </xf>
    <xf numFmtId="0" fontId="0" fillId="9" borderId="0" xfId="0" applyFill="1" applyAlignment="1">
      <alignment horizontal="left"/>
    </xf>
    <xf numFmtId="0" fontId="0" fillId="9" borderId="0" xfId="0" applyFill="1"/>
    <xf numFmtId="0" fontId="0" fillId="9" borderId="0" xfId="0" applyFill="1" applyAlignment="1">
      <alignment horizontal="right"/>
    </xf>
    <xf numFmtId="49" fontId="0" fillId="10" borderId="0" xfId="0" applyNumberFormat="1" applyFill="1" applyAlignment="1">
      <alignment horizontal="left"/>
    </xf>
    <xf numFmtId="0" fontId="0" fillId="10" borderId="0" xfId="0" applyFill="1" applyAlignment="1">
      <alignment horizontal="left"/>
    </xf>
    <xf numFmtId="0" fontId="0" fillId="10" borderId="0" xfId="0" applyFill="1"/>
    <xf numFmtId="0" fontId="0" fillId="10" borderId="0" xfId="0" applyFill="1" applyAlignment="1">
      <alignment horizontal="right"/>
    </xf>
    <xf numFmtId="0" fontId="16" fillId="10" borderId="0" xfId="0" applyFont="1" applyFill="1"/>
    <xf numFmtId="49" fontId="0" fillId="11" borderId="0" xfId="0" applyNumberFormat="1" applyFill="1" applyAlignment="1">
      <alignment horizontal="left"/>
    </xf>
    <xf numFmtId="0" fontId="0" fillId="11" borderId="0" xfId="0" applyFill="1" applyAlignment="1">
      <alignment horizontal="left"/>
    </xf>
    <xf numFmtId="0" fontId="16" fillId="11" borderId="0" xfId="0" applyFont="1" applyFill="1"/>
    <xf numFmtId="0" fontId="0" fillId="11" borderId="0" xfId="0" applyFill="1"/>
    <xf numFmtId="0" fontId="0" fillId="11" borderId="0" xfId="0" applyFill="1" applyAlignment="1">
      <alignment horizontal="right"/>
    </xf>
    <xf numFmtId="0" fontId="8" fillId="11" borderId="0" xfId="0" applyFont="1" applyFill="1"/>
    <xf numFmtId="49" fontId="0" fillId="12" borderId="0" xfId="0" applyNumberFormat="1" applyFill="1" applyAlignment="1">
      <alignment horizontal="left"/>
    </xf>
    <xf numFmtId="0" fontId="0" fillId="12" borderId="0" xfId="0" applyFill="1" applyAlignment="1">
      <alignment horizontal="left"/>
    </xf>
    <xf numFmtId="0" fontId="0" fillId="12" borderId="0" xfId="0" applyFill="1"/>
    <xf numFmtId="0" fontId="0" fillId="12" borderId="0" xfId="0" applyFill="1" applyAlignment="1">
      <alignment horizontal="right"/>
    </xf>
    <xf numFmtId="49" fontId="0" fillId="13" borderId="0" xfId="0" applyNumberFormat="1" applyFill="1" applyAlignment="1">
      <alignment horizontal="left"/>
    </xf>
    <xf numFmtId="0" fontId="0" fillId="13" borderId="0" xfId="0" applyFill="1" applyAlignment="1">
      <alignment horizontal="left"/>
    </xf>
    <xf numFmtId="0" fontId="0" fillId="13" borderId="0" xfId="0" applyFill="1"/>
    <xf numFmtId="0" fontId="0" fillId="13" borderId="0" xfId="0" applyFill="1" applyAlignment="1">
      <alignment horizontal="right"/>
    </xf>
    <xf numFmtId="49" fontId="0" fillId="7" borderId="0" xfId="0" applyNumberFormat="1" applyFill="1"/>
    <xf numFmtId="0" fontId="16" fillId="0" borderId="0" xfId="0" applyFont="1"/>
    <xf numFmtId="49" fontId="0" fillId="14" borderId="0" xfId="0" applyNumberFormat="1" applyFill="1"/>
    <xf numFmtId="0" fontId="0" fillId="14" borderId="0" xfId="0" applyFill="1"/>
    <xf numFmtId="49" fontId="0" fillId="14" borderId="0" xfId="0" applyNumberFormat="1" applyFill="1" applyAlignment="1">
      <alignment wrapText="1"/>
    </xf>
    <xf numFmtId="49" fontId="16" fillId="14" borderId="0" xfId="0" applyNumberFormat="1" applyFont="1" applyFill="1"/>
    <xf numFmtId="49" fontId="0" fillId="15" borderId="0" xfId="0" applyNumberFormat="1" applyFill="1"/>
    <xf numFmtId="0" fontId="0" fillId="15" borderId="0" xfId="0" applyFill="1"/>
    <xf numFmtId="49" fontId="0" fillId="16" borderId="0" xfId="0" applyNumberFormat="1" applyFill="1"/>
    <xf numFmtId="0" fontId="0" fillId="16" borderId="0" xfId="0" applyFill="1"/>
    <xf numFmtId="49" fontId="16" fillId="16" borderId="0" xfId="0" applyNumberFormat="1" applyFont="1" applyFill="1"/>
    <xf numFmtId="0" fontId="0" fillId="16" borderId="0" xfId="0" applyFill="1" applyAlignment="1">
      <alignment horizontal="left"/>
    </xf>
    <xf numFmtId="49" fontId="0" fillId="16" borderId="0" xfId="0" applyNumberFormat="1" applyFill="1" applyAlignment="1">
      <alignment horizontal="left"/>
    </xf>
    <xf numFmtId="49" fontId="0" fillId="9" borderId="0" xfId="0" applyNumberFormat="1" applyFill="1"/>
    <xf numFmtId="0" fontId="0" fillId="17" borderId="0" xfId="0" applyFill="1" applyAlignment="1">
      <alignment horizontal="left"/>
    </xf>
    <xf numFmtId="49" fontId="0" fillId="17" borderId="0" xfId="0" applyNumberFormat="1" applyFill="1"/>
    <xf numFmtId="0" fontId="0" fillId="17" borderId="0" xfId="0" applyFill="1"/>
    <xf numFmtId="49" fontId="0" fillId="10" borderId="0" xfId="0" applyNumberFormat="1" applyFill="1"/>
    <xf numFmtId="49" fontId="12" fillId="10" borderId="0" xfId="0" applyNumberFormat="1" applyFont="1" applyFill="1"/>
    <xf numFmtId="11" fontId="14" fillId="0" borderId="0" xfId="0" applyNumberFormat="1" applyFont="1" applyAlignment="1">
      <alignment wrapText="1"/>
    </xf>
    <xf numFmtId="0" fontId="14" fillId="0" borderId="0" xfId="0" applyFont="1"/>
    <xf numFmtId="0" fontId="18" fillId="0" borderId="0" xfId="0" applyFont="1" applyAlignment="1">
      <alignment wrapText="1"/>
    </xf>
    <xf numFmtId="0" fontId="0" fillId="0" borderId="0" xfId="0" applyAlignment="1">
      <alignment horizontal="right" wrapText="1"/>
    </xf>
    <xf numFmtId="0" fontId="19" fillId="0" borderId="0" xfId="0" applyFont="1"/>
    <xf numFmtId="0" fontId="0" fillId="18" borderId="0" xfId="0" applyFill="1"/>
    <xf numFmtId="0" fontId="0" fillId="19" borderId="0" xfId="0" applyFill="1"/>
    <xf numFmtId="0" fontId="0" fillId="20" borderId="0" xfId="0" applyFill="1"/>
    <xf numFmtId="0" fontId="0" fillId="21" borderId="0" xfId="0" applyFill="1"/>
    <xf numFmtId="0" fontId="0" fillId="7" borderId="0" xfId="0" applyFill="1"/>
    <xf numFmtId="0" fontId="0" fillId="22" borderId="0" xfId="0" applyFill="1"/>
    <xf numFmtId="0" fontId="0" fillId="23" borderId="0" xfId="0" applyFill="1"/>
    <xf numFmtId="49" fontId="0" fillId="13" borderId="0" xfId="0" applyNumberFormat="1" applyFill="1"/>
    <xf numFmtId="49" fontId="0" fillId="18" borderId="0" xfId="0" applyNumberFormat="1" applyFill="1"/>
    <xf numFmtId="49" fontId="13" fillId="0" borderId="0" xfId="0" applyNumberFormat="1" applyFont="1"/>
    <xf numFmtId="49" fontId="16" fillId="9" borderId="0" xfId="0" applyNumberFormat="1" applyFont="1" applyFill="1"/>
    <xf numFmtId="0" fontId="21" fillId="0" borderId="0" xfId="0" applyFont="1" applyAlignment="1">
      <alignment wrapText="1"/>
    </xf>
    <xf numFmtId="49" fontId="0" fillId="0" borderId="0" xfId="0" applyNumberFormat="1" applyAlignment="1">
      <alignment wrapText="1"/>
    </xf>
    <xf numFmtId="0" fontId="23" fillId="0" borderId="0" xfId="13"/>
    <xf numFmtId="49" fontId="10" fillId="0" borderId="0" xfId="0" applyNumberFormat="1" applyFont="1"/>
    <xf numFmtId="49" fontId="15" fillId="0" borderId="0" xfId="0" applyNumberFormat="1" applyFont="1" applyAlignment="1">
      <alignment vertical="center"/>
    </xf>
    <xf numFmtId="49" fontId="0" fillId="24" borderId="0" xfId="0" applyNumberFormat="1" applyFill="1" applyAlignment="1">
      <alignment horizontal="left"/>
    </xf>
    <xf numFmtId="0" fontId="0" fillId="24" borderId="0" xfId="0" applyFill="1" applyAlignment="1">
      <alignment horizontal="left"/>
    </xf>
    <xf numFmtId="0" fontId="0" fillId="24" borderId="0" xfId="0" applyFill="1"/>
    <xf numFmtId="0" fontId="0" fillId="24" borderId="0" xfId="0" applyFill="1" applyAlignment="1">
      <alignment horizontal="right"/>
    </xf>
    <xf numFmtId="0" fontId="15" fillId="24" borderId="0" xfId="0" applyFont="1" applyFill="1" applyAlignment="1">
      <alignment vertical="center"/>
    </xf>
    <xf numFmtId="0" fontId="0" fillId="0" borderId="0" xfId="0" applyAlignment="1">
      <alignment horizontal="center" vertical="center" wrapText="1"/>
    </xf>
    <xf numFmtId="0" fontId="0" fillId="7" borderId="0" xfId="0" applyFill="1" applyAlignment="1">
      <alignment horizontal="center"/>
    </xf>
  </cellXfs>
  <cellStyles count="14">
    <cellStyle name="Accent 1 5" xfId="1" xr:uid="{00000000-0005-0000-0000-000006000000}"/>
    <cellStyle name="Accent 2 6" xfId="2" xr:uid="{00000000-0005-0000-0000-000007000000}"/>
    <cellStyle name="Accent 3 7" xfId="3" xr:uid="{00000000-0005-0000-0000-000008000000}"/>
    <cellStyle name="Accent 4" xfId="4" xr:uid="{00000000-0005-0000-0000-000009000000}"/>
    <cellStyle name="Error 8" xfId="5" xr:uid="{00000000-0005-0000-0000-00000A000000}"/>
    <cellStyle name="Footnote 9" xfId="6" xr:uid="{00000000-0005-0000-0000-00000B000000}"/>
    <cellStyle name="Heading 10" xfId="7" xr:uid="{00000000-0005-0000-0000-00000C000000}"/>
    <cellStyle name="Hyperlink" xfId="13" builtinId="8"/>
    <cellStyle name="Hyperlink 11" xfId="8" xr:uid="{00000000-0005-0000-0000-00000D000000}"/>
    <cellStyle name="Normal" xfId="0" builtinId="0"/>
    <cellStyle name="Result 12" xfId="9" xr:uid="{00000000-0005-0000-0000-00000E000000}"/>
    <cellStyle name="Status 13" xfId="10" xr:uid="{00000000-0005-0000-0000-00000F000000}"/>
    <cellStyle name="Text 14" xfId="11" xr:uid="{00000000-0005-0000-0000-000010000000}"/>
    <cellStyle name="Warning 15" xfId="12" xr:uid="{00000000-0005-0000-0000-000011000000}"/>
  </cellStyles>
  <dxfs count="0"/>
  <tableStyles count="0" defaultTableStyle="TableStyleMedium2" defaultPivotStyle="PivotStyleLight16"/>
  <colors>
    <indexedColors>
      <rgbColor rgb="FF000000"/>
      <rgbColor rgb="FFFFFFFF"/>
      <rgbColor rgb="FFFF0000"/>
      <rgbColor rgb="FF00FF00"/>
      <rgbColor rgb="FF0000EE"/>
      <rgbColor rgb="FFFFFF00"/>
      <rgbColor rgb="FFFF00FF"/>
      <rgbColor rgb="FF00FFFF"/>
      <rgbColor rgb="FFCC0000"/>
      <rgbColor rgb="FF008000"/>
      <rgbColor rgb="FF000080"/>
      <rgbColor rgb="FF808000"/>
      <rgbColor rgb="FF800080"/>
      <rgbColor rgb="FF168253"/>
      <rgbColor rgb="FFB4C7DC"/>
      <rgbColor rgb="FF808080"/>
      <rgbColor rgb="FF9999FF"/>
      <rgbColor rgb="FF993366"/>
      <rgbColor rgb="FFEEEEEE"/>
      <rgbColor rgb="FFFFE994"/>
      <rgbColor rgb="FF660066"/>
      <rgbColor rgb="FFEC9BA4"/>
      <rgbColor rgb="FF0066CC"/>
      <rgbColor rgb="FFDDDDDD"/>
      <rgbColor rgb="FF000080"/>
      <rgbColor rgb="FFFF00FF"/>
      <rgbColor rgb="FFFFDE59"/>
      <rgbColor rgb="FF00FFFF"/>
      <rgbColor rgb="FF800080"/>
      <rgbColor rgb="FF800000"/>
      <rgbColor rgb="FF008080"/>
      <rgbColor rgb="FF0000FF"/>
      <rgbColor rgb="FF00CCFF"/>
      <rgbColor rgb="FFD4EA6B"/>
      <rgbColor rgb="FFE8F2A1"/>
      <rgbColor rgb="FFFFFFA6"/>
      <rgbColor rgb="FF99CCFF"/>
      <rgbColor rgb="FFFFA6A6"/>
      <rgbColor rgb="FFCC99FF"/>
      <rgbColor rgb="FFFFDBB6"/>
      <rgbColor rgb="FF3366FF"/>
      <rgbColor rgb="FF33CCCC"/>
      <rgbColor rgb="FF99CC00"/>
      <rgbColor rgb="FFFFBF00"/>
      <rgbColor rgb="FFFF9900"/>
      <rgbColor rgb="FFED4C05"/>
      <rgbColor rgb="FF5983B0"/>
      <rgbColor rgb="FFBF819E"/>
      <rgbColor rgb="FF003366"/>
      <rgbColor rgb="FF339966"/>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5</xdr:col>
      <xdr:colOff>1181100</xdr:colOff>
      <xdr:row>786</xdr:row>
      <xdr:rowOff>179363</xdr:rowOff>
    </xdr:from>
    <xdr:to>
      <xdr:col>9</xdr:col>
      <xdr:colOff>35583</xdr:colOff>
      <xdr:row>801</xdr:row>
      <xdr:rowOff>10665</xdr:rowOff>
    </xdr:to>
    <xdr:pic>
      <xdr:nvPicPr>
        <xdr:cNvPr id="2" name="Imag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tretch/>
      </xdr:blipFill>
      <xdr:spPr>
        <a:xfrm>
          <a:off x="9572625" y="149017013"/>
          <a:ext cx="4712358" cy="2688802"/>
        </a:xfrm>
        <a:prstGeom prst="rect">
          <a:avLst/>
        </a:prstGeom>
        <a:ln w="0">
          <a:noFill/>
        </a:ln>
      </xdr:spPr>
    </xdr:pic>
    <xdr:clientData/>
  </xdr:twoCellAnchor>
  <xdr:twoCellAnchor editAs="absolute">
    <xdr:from>
      <xdr:col>3</xdr:col>
      <xdr:colOff>2572084</xdr:colOff>
      <xdr:row>891</xdr:row>
      <xdr:rowOff>64121</xdr:rowOff>
    </xdr:from>
    <xdr:to>
      <xdr:col>5</xdr:col>
      <xdr:colOff>2055515</xdr:colOff>
      <xdr:row>908</xdr:row>
      <xdr:rowOff>159580</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stretch/>
      </xdr:blipFill>
      <xdr:spPr>
        <a:xfrm>
          <a:off x="4317881" y="168931484"/>
          <a:ext cx="6130520" cy="3340766"/>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2870200</xdr:colOff>
      <xdr:row>11</xdr:row>
      <xdr:rowOff>76200</xdr:rowOff>
    </xdr:from>
    <xdr:to>
      <xdr:col>13</xdr:col>
      <xdr:colOff>410019</xdr:colOff>
      <xdr:row>14</xdr:row>
      <xdr:rowOff>162017</xdr:rowOff>
    </xdr:to>
    <xdr:pic>
      <xdr:nvPicPr>
        <xdr:cNvPr id="2" name="Picture 1">
          <a:extLst>
            <a:ext uri="{FF2B5EF4-FFF2-40B4-BE49-F238E27FC236}">
              <a16:creationId xmlns:a16="http://schemas.microsoft.com/office/drawing/2014/main" id="{030E96C0-4CD6-F41F-5086-83AF29BCDF64}"/>
            </a:ext>
          </a:extLst>
        </xdr:cNvPr>
        <xdr:cNvPicPr>
          <a:picLocks noChangeAspect="1"/>
        </xdr:cNvPicPr>
      </xdr:nvPicPr>
      <xdr:blipFill>
        <a:blip xmlns:r="http://schemas.openxmlformats.org/officeDocument/2006/relationships" r:embed="rId1"/>
        <a:stretch>
          <a:fillRect/>
        </a:stretch>
      </xdr:blipFill>
      <xdr:spPr>
        <a:xfrm>
          <a:off x="14395450" y="2101850"/>
          <a:ext cx="3318319" cy="638267"/>
        </a:xfrm>
        <a:prstGeom prst="rect">
          <a:avLst/>
        </a:prstGeom>
      </xdr:spPr>
    </xdr:pic>
    <xdr:clientData/>
  </xdr:twoCellAnchor>
  <xdr:twoCellAnchor editAs="oneCell">
    <xdr:from>
      <xdr:col>12</xdr:col>
      <xdr:colOff>38100</xdr:colOff>
      <xdr:row>7</xdr:row>
      <xdr:rowOff>0</xdr:rowOff>
    </xdr:from>
    <xdr:to>
      <xdr:col>13</xdr:col>
      <xdr:colOff>356028</xdr:colOff>
      <xdr:row>9</xdr:row>
      <xdr:rowOff>181053</xdr:rowOff>
    </xdr:to>
    <xdr:pic>
      <xdr:nvPicPr>
        <xdr:cNvPr id="3" name="Picture 2">
          <a:extLst>
            <a:ext uri="{FF2B5EF4-FFF2-40B4-BE49-F238E27FC236}">
              <a16:creationId xmlns:a16="http://schemas.microsoft.com/office/drawing/2014/main" id="{2FB9A4B9-2DB4-1D0F-505C-ACE8C50D8FE8}"/>
            </a:ext>
          </a:extLst>
        </xdr:cNvPr>
        <xdr:cNvPicPr>
          <a:picLocks noChangeAspect="1"/>
        </xdr:cNvPicPr>
      </xdr:nvPicPr>
      <xdr:blipFill>
        <a:blip xmlns:r="http://schemas.openxmlformats.org/officeDocument/2006/relationships" r:embed="rId2"/>
        <a:stretch>
          <a:fillRect/>
        </a:stretch>
      </xdr:blipFill>
      <xdr:spPr>
        <a:xfrm>
          <a:off x="14446250" y="1289050"/>
          <a:ext cx="3213528" cy="5493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1</xdr:row>
      <xdr:rowOff>114300</xdr:rowOff>
    </xdr:to>
    <xdr:sp macro="" textlink="">
      <xdr:nvSpPr>
        <xdr:cNvPr id="3073" name="AutoShape 1">
          <a:extLst>
            <a:ext uri="{FF2B5EF4-FFF2-40B4-BE49-F238E27FC236}">
              <a16:creationId xmlns:a16="http://schemas.microsoft.com/office/drawing/2014/main" id="{5A773BC0-471F-DCF7-016E-B221836B7E73}"/>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114300</xdr:rowOff>
    </xdr:to>
    <xdr:sp macro="" textlink="">
      <xdr:nvSpPr>
        <xdr:cNvPr id="3074" name="AutoShape 2">
          <a:extLst>
            <a:ext uri="{FF2B5EF4-FFF2-40B4-BE49-F238E27FC236}">
              <a16:creationId xmlns:a16="http://schemas.microsoft.com/office/drawing/2014/main" id="{77EF24CB-6D3E-A45F-91DE-8B090AF6EC34}"/>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114300</xdr:rowOff>
    </xdr:to>
    <xdr:sp macro="" textlink="">
      <xdr:nvSpPr>
        <xdr:cNvPr id="3076" name="AutoShape 4">
          <a:extLst>
            <a:ext uri="{FF2B5EF4-FFF2-40B4-BE49-F238E27FC236}">
              <a16:creationId xmlns:a16="http://schemas.microsoft.com/office/drawing/2014/main" id="{001F6F8B-EE79-63E5-D62A-3027FF4BB9CB}"/>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5</xdr:row>
      <xdr:rowOff>0</xdr:rowOff>
    </xdr:from>
    <xdr:to>
      <xdr:col>1</xdr:col>
      <xdr:colOff>304800</xdr:colOff>
      <xdr:row>6</xdr:row>
      <xdr:rowOff>114300</xdr:rowOff>
    </xdr:to>
    <xdr:sp macro="" textlink="">
      <xdr:nvSpPr>
        <xdr:cNvPr id="3077" name="AutoShape 5">
          <a:extLst>
            <a:ext uri="{FF2B5EF4-FFF2-40B4-BE49-F238E27FC236}">
              <a16:creationId xmlns:a16="http://schemas.microsoft.com/office/drawing/2014/main" id="{8B525D43-6AA8-7F0B-4CCC-EDE373D73988}"/>
            </a:ext>
          </a:extLst>
        </xdr:cNvPr>
        <xdr:cNvSpPr>
          <a:spLocks noChangeAspect="1" noChangeArrowheads="1"/>
        </xdr:cNvSpPr>
      </xdr:nvSpPr>
      <xdr:spPr bwMode="auto">
        <a:xfrm>
          <a:off x="609600" y="9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7</xdr:col>
      <xdr:colOff>267333</xdr:colOff>
      <xdr:row>47</xdr:row>
      <xdr:rowOff>77434</xdr:rowOff>
    </xdr:to>
    <xdr:pic>
      <xdr:nvPicPr>
        <xdr:cNvPr id="2" name="Picture 1">
          <a:extLst>
            <a:ext uri="{FF2B5EF4-FFF2-40B4-BE49-F238E27FC236}">
              <a16:creationId xmlns:a16="http://schemas.microsoft.com/office/drawing/2014/main" id="{AB0FA7A4-733A-B61D-A410-7AD033674C84}"/>
            </a:ext>
          </a:extLst>
        </xdr:cNvPr>
        <xdr:cNvPicPr>
          <a:picLocks noChangeAspect="1"/>
        </xdr:cNvPicPr>
      </xdr:nvPicPr>
      <xdr:blipFill>
        <a:blip xmlns:r="http://schemas.openxmlformats.org/officeDocument/2006/relationships" r:embed="rId1"/>
        <a:stretch>
          <a:fillRect/>
        </a:stretch>
      </xdr:blipFill>
      <xdr:spPr>
        <a:xfrm>
          <a:off x="0" y="190500"/>
          <a:ext cx="4534533" cy="8840434"/>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vpw.ajworld.net/vpw2/wrestler_modeltex.txt" TargetMode="External"/><Relationship Id="rId1" Type="http://schemas.openxmlformats.org/officeDocument/2006/relationships/hyperlink" Target="https://www.tapatalk.com/groups/vpw2dojo/viewtopic.php?p=16"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2811"/>
  <sheetViews>
    <sheetView tabSelected="1" topLeftCell="A583" zoomScaleNormal="100" workbookViewId="0">
      <selection activeCell="A616" sqref="A616"/>
    </sheetView>
  </sheetViews>
  <sheetFormatPr defaultColWidth="11.5703125" defaultRowHeight="15"/>
  <cols>
    <col min="1" max="1" width="17.140625" style="1" customWidth="1"/>
    <col min="2" max="2" width="9.140625" style="2" customWidth="1"/>
    <col min="3" max="3" width="10.85546875" style="2" hidden="1" customWidth="1"/>
    <col min="4" max="4" width="93.42578125" customWidth="1"/>
    <col min="5" max="5" width="6.140625" customWidth="1"/>
    <col min="6" max="6" width="52.7109375" style="3" customWidth="1"/>
    <col min="7" max="10" width="11.7109375" customWidth="1"/>
    <col min="11" max="64" width="9.42578125" customWidth="1"/>
  </cols>
  <sheetData>
    <row r="1" spans="1:6">
      <c r="A1" s="1" t="s">
        <v>7733</v>
      </c>
      <c r="D1" t="s">
        <v>7734</v>
      </c>
    </row>
    <row r="7" spans="1:6">
      <c r="A7" s="1" t="s">
        <v>0</v>
      </c>
      <c r="D7" t="s">
        <v>1</v>
      </c>
      <c r="E7">
        <v>16</v>
      </c>
      <c r="F7" s="3" t="s">
        <v>2</v>
      </c>
    </row>
    <row r="9" spans="1:6">
      <c r="A9" s="1" t="s">
        <v>3</v>
      </c>
      <c r="D9" t="s">
        <v>4</v>
      </c>
      <c r="E9">
        <v>32</v>
      </c>
    </row>
    <row r="11" spans="1:6">
      <c r="A11" s="1">
        <v>32050</v>
      </c>
      <c r="D11" t="s">
        <v>5</v>
      </c>
      <c r="E11">
        <v>16</v>
      </c>
    </row>
    <row r="13" spans="1:6">
      <c r="A13" s="1" t="s">
        <v>6</v>
      </c>
      <c r="D13" t="s">
        <v>7</v>
      </c>
      <c r="E13">
        <v>16</v>
      </c>
      <c r="F13" s="3" t="s">
        <v>8</v>
      </c>
    </row>
    <row r="16" spans="1:6">
      <c r="A16" s="1" t="s">
        <v>9</v>
      </c>
      <c r="D16" t="s">
        <v>7</v>
      </c>
      <c r="E16">
        <v>16</v>
      </c>
      <c r="F16" s="3" t="s">
        <v>10</v>
      </c>
    </row>
    <row r="17" spans="1:9">
      <c r="A17" s="1" t="s">
        <v>11</v>
      </c>
      <c r="D17" t="s">
        <v>12</v>
      </c>
      <c r="E17">
        <v>16</v>
      </c>
      <c r="F17" s="3" t="s">
        <v>13</v>
      </c>
    </row>
    <row r="18" spans="1:9">
      <c r="A18" s="1" t="s">
        <v>14</v>
      </c>
      <c r="E18">
        <v>16</v>
      </c>
    </row>
    <row r="19" spans="1:9">
      <c r="A19" s="1" t="s">
        <v>15</v>
      </c>
      <c r="E19">
        <v>16</v>
      </c>
    </row>
    <row r="21" spans="1:9">
      <c r="A21" s="1" t="s">
        <v>16</v>
      </c>
      <c r="D21" t="s">
        <v>17</v>
      </c>
      <c r="E21">
        <v>16</v>
      </c>
    </row>
    <row r="23" spans="1:9">
      <c r="A23" s="1" t="s">
        <v>18</v>
      </c>
      <c r="D23" t="s">
        <v>7</v>
      </c>
      <c r="E23">
        <v>16</v>
      </c>
      <c r="F23" s="3" t="s">
        <v>19</v>
      </c>
    </row>
    <row r="25" spans="1:9">
      <c r="A25" s="1" t="s">
        <v>20</v>
      </c>
      <c r="D25" t="s">
        <v>21</v>
      </c>
      <c r="E25">
        <v>16</v>
      </c>
    </row>
    <row r="29" spans="1:9">
      <c r="A29" s="1" t="s">
        <v>22</v>
      </c>
      <c r="D29" t="s">
        <v>23</v>
      </c>
      <c r="E29">
        <v>16</v>
      </c>
      <c r="F29" s="3" t="s">
        <v>24</v>
      </c>
      <c r="G29" t="s">
        <v>25</v>
      </c>
      <c r="I29" t="s">
        <v>26</v>
      </c>
    </row>
    <row r="30" spans="1:9">
      <c r="A30" s="1" t="s">
        <v>27</v>
      </c>
      <c r="D30" t="s">
        <v>28</v>
      </c>
      <c r="E30">
        <v>16</v>
      </c>
      <c r="F30" s="3" t="s">
        <v>29</v>
      </c>
    </row>
    <row r="38" spans="1:6">
      <c r="A38" s="1" t="s">
        <v>30</v>
      </c>
      <c r="D38" t="s">
        <v>31</v>
      </c>
    </row>
    <row r="40" spans="1:6">
      <c r="A40" s="1" t="s">
        <v>32</v>
      </c>
      <c r="D40" t="s">
        <v>33</v>
      </c>
    </row>
    <row r="41" spans="1:6">
      <c r="A41" s="1" t="s">
        <v>34</v>
      </c>
      <c r="D41" t="s">
        <v>35</v>
      </c>
      <c r="E41">
        <v>32</v>
      </c>
    </row>
    <row r="43" spans="1:6">
      <c r="A43" s="1" t="s">
        <v>36</v>
      </c>
      <c r="D43" t="s">
        <v>37</v>
      </c>
      <c r="E43">
        <v>32</v>
      </c>
      <c r="F43" s="3" t="s">
        <v>38</v>
      </c>
    </row>
    <row r="45" spans="1:6">
      <c r="A45" s="1" t="s">
        <v>39</v>
      </c>
      <c r="D45" t="s">
        <v>40</v>
      </c>
      <c r="E45">
        <v>16</v>
      </c>
      <c r="F45" s="3" t="s">
        <v>41</v>
      </c>
    </row>
    <row r="46" spans="1:6">
      <c r="E46">
        <v>16</v>
      </c>
      <c r="F46" s="3" t="s">
        <v>42</v>
      </c>
    </row>
    <row r="47" spans="1:6">
      <c r="E47">
        <v>16</v>
      </c>
      <c r="F47" s="3" t="s">
        <v>43</v>
      </c>
    </row>
    <row r="48" spans="1:6">
      <c r="A48" s="1" t="s">
        <v>44</v>
      </c>
      <c r="D48" t="s">
        <v>45</v>
      </c>
      <c r="E48">
        <v>16</v>
      </c>
    </row>
    <row r="49" spans="1:6">
      <c r="E49">
        <v>16</v>
      </c>
    </row>
    <row r="50" spans="1:6">
      <c r="E50">
        <v>16</v>
      </c>
    </row>
    <row r="52" spans="1:6">
      <c r="A52" s="1" t="s">
        <v>46</v>
      </c>
      <c r="D52" t="s">
        <v>47</v>
      </c>
      <c r="E52">
        <v>16</v>
      </c>
    </row>
    <row r="53" spans="1:6">
      <c r="A53" s="1" t="s">
        <v>48</v>
      </c>
      <c r="D53" t="s">
        <v>49</v>
      </c>
      <c r="E53">
        <v>16</v>
      </c>
    </row>
    <row r="55" spans="1:6">
      <c r="A55" s="1" t="s">
        <v>50</v>
      </c>
      <c r="D55" t="s">
        <v>51</v>
      </c>
      <c r="E55">
        <v>32</v>
      </c>
      <c r="F55" s="3" t="s">
        <v>52</v>
      </c>
    </row>
    <row r="57" spans="1:6">
      <c r="A57" s="1" t="s">
        <v>53</v>
      </c>
      <c r="D57" t="s">
        <v>54</v>
      </c>
      <c r="E57">
        <v>32</v>
      </c>
    </row>
    <row r="59" spans="1:6">
      <c r="A59" s="1" t="s">
        <v>55</v>
      </c>
      <c r="D59" t="s">
        <v>56</v>
      </c>
    </row>
    <row r="60" spans="1:6">
      <c r="D60" s="20" t="s">
        <v>7743</v>
      </c>
    </row>
    <row r="61" spans="1:6">
      <c r="D61" s="20" t="s">
        <v>7744</v>
      </c>
    </row>
    <row r="62" spans="1:6">
      <c r="D62" s="20" t="s">
        <v>7745</v>
      </c>
    </row>
    <row r="63" spans="1:6">
      <c r="D63" s="20" t="s">
        <v>7746</v>
      </c>
    </row>
    <row r="64" spans="1:6">
      <c r="D64" s="20" t="s">
        <v>7747</v>
      </c>
    </row>
    <row r="65" spans="4:4">
      <c r="D65" s="20" t="s">
        <v>7748</v>
      </c>
    </row>
    <row r="66" spans="4:4">
      <c r="D66" s="20" t="s">
        <v>7749</v>
      </c>
    </row>
    <row r="67" spans="4:4">
      <c r="D67" s="20" t="s">
        <v>7750</v>
      </c>
    </row>
    <row r="68" spans="4:4">
      <c r="D68" s="20" t="s">
        <v>7751</v>
      </c>
    </row>
    <row r="69" spans="4:4">
      <c r="D69" s="20" t="s">
        <v>7752</v>
      </c>
    </row>
    <row r="70" spans="4:4">
      <c r="D70" s="20" t="s">
        <v>7753</v>
      </c>
    </row>
    <row r="71" spans="4:4">
      <c r="D71" s="20" t="s">
        <v>7754</v>
      </c>
    </row>
    <row r="72" spans="4:4">
      <c r="D72" s="20" t="s">
        <v>7755</v>
      </c>
    </row>
    <row r="73" spans="4:4">
      <c r="D73" s="20" t="s">
        <v>7756</v>
      </c>
    </row>
    <row r="74" spans="4:4">
      <c r="D74" s="20" t="s">
        <v>7757</v>
      </c>
    </row>
    <row r="75" spans="4:4">
      <c r="D75" s="20" t="s">
        <v>7758</v>
      </c>
    </row>
    <row r="76" spans="4:4">
      <c r="D76" s="20" t="s">
        <v>7759</v>
      </c>
    </row>
    <row r="77" spans="4:4">
      <c r="D77" s="20" t="s">
        <v>7760</v>
      </c>
    </row>
    <row r="78" spans="4:4">
      <c r="D78" s="20" t="s">
        <v>7761</v>
      </c>
    </row>
    <row r="79" spans="4:4">
      <c r="D79" s="20" t="s">
        <v>8046</v>
      </c>
    </row>
    <row r="80" spans="4:4">
      <c r="D80" s="20" t="s">
        <v>7762</v>
      </c>
    </row>
    <row r="81" spans="1:4">
      <c r="D81" s="20" t="s">
        <v>7763</v>
      </c>
    </row>
    <row r="82" spans="1:4">
      <c r="D82" s="20" t="s">
        <v>7764</v>
      </c>
    </row>
    <row r="83" spans="1:4">
      <c r="D83" s="20" t="s">
        <v>7765</v>
      </c>
    </row>
    <row r="84" spans="1:4">
      <c r="D84" s="20" t="s">
        <v>7766</v>
      </c>
    </row>
    <row r="85" spans="1:4">
      <c r="D85" s="20" t="s">
        <v>7767</v>
      </c>
    </row>
    <row r="86" spans="1:4">
      <c r="D86" s="20" t="s">
        <v>7768</v>
      </c>
    </row>
    <row r="87" spans="1:4">
      <c r="D87" s="20" t="s">
        <v>7769</v>
      </c>
    </row>
    <row r="88" spans="1:4">
      <c r="D88" s="20" t="s">
        <v>7770</v>
      </c>
    </row>
    <row r="89" spans="1:4">
      <c r="D89" s="20" t="s">
        <v>7771</v>
      </c>
    </row>
    <row r="90" spans="1:4">
      <c r="D90" s="20" t="s">
        <v>7772</v>
      </c>
    </row>
    <row r="91" spans="1:4">
      <c r="D91" s="20" t="s">
        <v>7773</v>
      </c>
    </row>
    <row r="92" spans="1:4">
      <c r="D92" s="20" t="s">
        <v>7774</v>
      </c>
    </row>
    <row r="93" spans="1:4">
      <c r="D93" s="20" t="s">
        <v>7775</v>
      </c>
    </row>
    <row r="96" spans="1:4">
      <c r="A96" s="1" t="s">
        <v>57</v>
      </c>
      <c r="D96" t="s">
        <v>58</v>
      </c>
    </row>
    <row r="98" spans="1:6">
      <c r="A98" s="1" t="s">
        <v>59</v>
      </c>
      <c r="D98" t="s">
        <v>60</v>
      </c>
      <c r="E98">
        <v>16</v>
      </c>
      <c r="F98" s="3" t="s">
        <v>61</v>
      </c>
    </row>
    <row r="100" spans="1:6">
      <c r="A100" s="1" t="s">
        <v>62</v>
      </c>
      <c r="D100" t="s">
        <v>63</v>
      </c>
      <c r="E100">
        <v>16</v>
      </c>
      <c r="F100" s="3" t="s">
        <v>64</v>
      </c>
    </row>
    <row r="102" spans="1:6">
      <c r="A102" s="1" t="s">
        <v>8028</v>
      </c>
      <c r="D102" t="s">
        <v>65</v>
      </c>
      <c r="E102">
        <v>16</v>
      </c>
    </row>
    <row r="103" spans="1:6">
      <c r="A103" s="1" t="s">
        <v>8029</v>
      </c>
      <c r="D103" t="s">
        <v>8030</v>
      </c>
      <c r="E103">
        <v>16</v>
      </c>
    </row>
    <row r="105" spans="1:6">
      <c r="A105" s="1" t="s">
        <v>66</v>
      </c>
      <c r="D105" t="s">
        <v>67</v>
      </c>
    </row>
    <row r="107" spans="1:6">
      <c r="A107" s="1" t="s">
        <v>68</v>
      </c>
      <c r="D107" t="s">
        <v>69</v>
      </c>
    </row>
    <row r="109" spans="1:6">
      <c r="A109" s="1" t="s">
        <v>70</v>
      </c>
      <c r="D109" t="s">
        <v>71</v>
      </c>
    </row>
    <row r="112" spans="1:6">
      <c r="A112" s="1" t="s">
        <v>72</v>
      </c>
      <c r="D112" s="2" t="s">
        <v>73</v>
      </c>
    </row>
    <row r="114" spans="1:4">
      <c r="A114" s="1" t="s">
        <v>74</v>
      </c>
      <c r="D114" s="2" t="s">
        <v>75</v>
      </c>
    </row>
    <row r="115" spans="1:4">
      <c r="D115" s="2"/>
    </row>
    <row r="116" spans="1:4">
      <c r="A116" s="1" t="s">
        <v>76</v>
      </c>
      <c r="D116" s="2" t="s">
        <v>77</v>
      </c>
    </row>
    <row r="117" spans="1:4">
      <c r="A117" s="1" t="s">
        <v>78</v>
      </c>
      <c r="D117" s="2" t="s">
        <v>79</v>
      </c>
    </row>
    <row r="118" spans="1:4">
      <c r="A118" s="1" t="s">
        <v>80</v>
      </c>
      <c r="D118" s="2" t="s">
        <v>81</v>
      </c>
    </row>
    <row r="119" spans="1:4">
      <c r="A119" s="1" t="s">
        <v>82</v>
      </c>
      <c r="D119" s="2" t="s">
        <v>83</v>
      </c>
    </row>
    <row r="120" spans="1:4">
      <c r="D120" s="2"/>
    </row>
    <row r="121" spans="1:4">
      <c r="D121" s="2"/>
    </row>
    <row r="122" spans="1:4">
      <c r="D122" s="2"/>
    </row>
    <row r="123" spans="1:4">
      <c r="D123" s="2"/>
    </row>
    <row r="124" spans="1:4">
      <c r="D124" s="2"/>
    </row>
    <row r="125" spans="1:4">
      <c r="D125" s="2"/>
    </row>
    <row r="126" spans="1:4">
      <c r="D126" s="2"/>
    </row>
    <row r="127" spans="1:4">
      <c r="D127" s="2"/>
    </row>
    <row r="128" spans="1:4">
      <c r="D128" s="2"/>
    </row>
    <row r="129" spans="1:6">
      <c r="A129" s="4"/>
    </row>
    <row r="130" spans="1:6">
      <c r="D130" s="2"/>
    </row>
    <row r="131" spans="1:6">
      <c r="A131" s="1" t="s">
        <v>84</v>
      </c>
      <c r="D131" s="2" t="s">
        <v>85</v>
      </c>
      <c r="E131">
        <v>16</v>
      </c>
    </row>
    <row r="132" spans="1:6">
      <c r="D132" s="2"/>
    </row>
    <row r="133" spans="1:6">
      <c r="A133" s="1" t="s">
        <v>86</v>
      </c>
      <c r="D133" s="2" t="s">
        <v>87</v>
      </c>
      <c r="E133">
        <v>16</v>
      </c>
    </row>
    <row r="134" spans="1:6">
      <c r="D134" s="2"/>
    </row>
    <row r="135" spans="1:6">
      <c r="A135" s="1" t="s">
        <v>88</v>
      </c>
      <c r="D135" s="2" t="s">
        <v>89</v>
      </c>
      <c r="E135">
        <v>16</v>
      </c>
    </row>
    <row r="136" spans="1:6">
      <c r="D136" s="2"/>
    </row>
    <row r="137" spans="1:6">
      <c r="A137" s="1">
        <v>47686</v>
      </c>
      <c r="D137" s="2" t="s">
        <v>90</v>
      </c>
      <c r="E137">
        <v>16</v>
      </c>
    </row>
    <row r="138" spans="1:6">
      <c r="A138" s="1">
        <v>47688</v>
      </c>
      <c r="D138" s="2" t="s">
        <v>91</v>
      </c>
      <c r="E138">
        <v>16</v>
      </c>
    </row>
    <row r="139" spans="1:6">
      <c r="A139" s="1" t="s">
        <v>92</v>
      </c>
      <c r="D139" s="2" t="s">
        <v>93</v>
      </c>
      <c r="E139">
        <v>16</v>
      </c>
    </row>
    <row r="140" spans="1:6">
      <c r="A140" s="1" t="s">
        <v>94</v>
      </c>
      <c r="D140" s="2" t="s">
        <v>95</v>
      </c>
      <c r="E140">
        <v>16</v>
      </c>
    </row>
    <row r="141" spans="1:6">
      <c r="D141" s="2"/>
    </row>
    <row r="142" spans="1:6">
      <c r="D142" s="2"/>
    </row>
    <row r="143" spans="1:6">
      <c r="D143" s="2"/>
    </row>
    <row r="144" spans="1:6">
      <c r="A144" s="1" t="s">
        <v>96</v>
      </c>
      <c r="D144" s="2" t="s">
        <v>97</v>
      </c>
      <c r="E144">
        <v>16</v>
      </c>
      <c r="F144" s="3" t="s">
        <v>98</v>
      </c>
    </row>
    <row r="145" spans="1:6">
      <c r="D145" s="2"/>
    </row>
    <row r="146" spans="1:6">
      <c r="A146" s="1" t="s">
        <v>99</v>
      </c>
      <c r="D146" s="2"/>
    </row>
    <row r="147" spans="1:6">
      <c r="D147" s="2"/>
    </row>
    <row r="148" spans="1:6">
      <c r="A148" s="1" t="s">
        <v>100</v>
      </c>
      <c r="D148" s="2" t="s">
        <v>101</v>
      </c>
      <c r="E148">
        <v>16</v>
      </c>
    </row>
    <row r="149" spans="1:6">
      <c r="D149" s="2"/>
    </row>
    <row r="150" spans="1:6">
      <c r="D150" s="2"/>
    </row>
    <row r="151" spans="1:6">
      <c r="A151" s="1" t="s">
        <v>102</v>
      </c>
      <c r="D151" s="2" t="s">
        <v>103</v>
      </c>
      <c r="E151">
        <v>16</v>
      </c>
      <c r="F151" s="3" t="s">
        <v>98</v>
      </c>
    </row>
    <row r="152" spans="1:6">
      <c r="D152" s="2"/>
    </row>
    <row r="153" spans="1:6">
      <c r="A153" s="1" t="s">
        <v>104</v>
      </c>
      <c r="D153" s="2" t="s">
        <v>105</v>
      </c>
      <c r="E153">
        <v>16</v>
      </c>
    </row>
    <row r="154" spans="1:6">
      <c r="D154" s="2"/>
    </row>
    <row r="155" spans="1:6">
      <c r="A155" s="1" t="s">
        <v>106</v>
      </c>
      <c r="D155" s="2" t="s">
        <v>107</v>
      </c>
      <c r="E155">
        <v>16</v>
      </c>
      <c r="F155" s="3" t="s">
        <v>98</v>
      </c>
    </row>
    <row r="156" spans="1:6">
      <c r="D156" s="2"/>
    </row>
    <row r="157" spans="1:6">
      <c r="A157" s="1" t="s">
        <v>108</v>
      </c>
      <c r="D157" s="2" t="s">
        <v>109</v>
      </c>
    </row>
    <row r="158" spans="1:6">
      <c r="D158" s="2"/>
    </row>
    <row r="159" spans="1:6">
      <c r="A159" s="1" t="s">
        <v>110</v>
      </c>
      <c r="D159" s="2" t="s">
        <v>111</v>
      </c>
      <c r="E159">
        <v>16</v>
      </c>
      <c r="F159" s="3" t="s">
        <v>98</v>
      </c>
    </row>
    <row r="160" spans="1:6">
      <c r="D160" s="2"/>
      <c r="F160" s="5"/>
    </row>
    <row r="161" spans="1:6">
      <c r="A161" s="1" t="s">
        <v>112</v>
      </c>
      <c r="D161" s="2" t="s">
        <v>113</v>
      </c>
      <c r="F161" s="5"/>
    </row>
    <row r="162" spans="1:6" ht="13.35" customHeight="1">
      <c r="D162" s="2"/>
      <c r="F162" s="5"/>
    </row>
    <row r="163" spans="1:6" ht="13.35" customHeight="1">
      <c r="A163" s="1" t="s">
        <v>114</v>
      </c>
      <c r="D163" s="2" t="s">
        <v>115</v>
      </c>
      <c r="E163">
        <v>16</v>
      </c>
      <c r="F163" s="5" t="s">
        <v>116</v>
      </c>
    </row>
    <row r="164" spans="1:6" ht="13.35" customHeight="1">
      <c r="A164" s="1" t="s">
        <v>117</v>
      </c>
      <c r="D164" s="2" t="s">
        <v>118</v>
      </c>
      <c r="E164">
        <v>16</v>
      </c>
      <c r="F164" s="5" t="s">
        <v>119</v>
      </c>
    </row>
    <row r="165" spans="1:6" ht="13.35" customHeight="1">
      <c r="A165" s="1" t="s">
        <v>120</v>
      </c>
      <c r="D165" s="2" t="s">
        <v>121</v>
      </c>
      <c r="E165">
        <v>16</v>
      </c>
      <c r="F165" s="5" t="s">
        <v>122</v>
      </c>
    </row>
    <row r="166" spans="1:6" ht="13.35" customHeight="1">
      <c r="A166" s="1" t="s">
        <v>123</v>
      </c>
      <c r="D166" s="2"/>
      <c r="E166">
        <v>16</v>
      </c>
      <c r="F166" s="5" t="s">
        <v>124</v>
      </c>
    </row>
    <row r="167" spans="1:6" ht="13.35" customHeight="1">
      <c r="A167" s="1" t="s">
        <v>125</v>
      </c>
      <c r="D167" s="2" t="s">
        <v>126</v>
      </c>
      <c r="E167">
        <v>16</v>
      </c>
      <c r="F167" s="5" t="s">
        <v>127</v>
      </c>
    </row>
    <row r="168" spans="1:6" ht="13.35" customHeight="1">
      <c r="A168" s="1" t="s">
        <v>128</v>
      </c>
      <c r="D168" s="2" t="s">
        <v>129</v>
      </c>
      <c r="E168">
        <v>16</v>
      </c>
      <c r="F168" s="5" t="s">
        <v>130</v>
      </c>
    </row>
    <row r="169" spans="1:6" ht="13.35" customHeight="1">
      <c r="A169" s="1" t="s">
        <v>131</v>
      </c>
      <c r="D169" s="2" t="s">
        <v>132</v>
      </c>
      <c r="E169">
        <v>16</v>
      </c>
      <c r="F169" s="5" t="s">
        <v>133</v>
      </c>
    </row>
    <row r="170" spans="1:6" ht="13.35" customHeight="1">
      <c r="A170" s="1" t="s">
        <v>134</v>
      </c>
      <c r="D170" s="2"/>
      <c r="E170">
        <v>16</v>
      </c>
      <c r="F170" s="5" t="s">
        <v>124</v>
      </c>
    </row>
    <row r="171" spans="1:6" ht="13.35" customHeight="1">
      <c r="A171" s="1" t="s">
        <v>135</v>
      </c>
      <c r="D171" s="2" t="s">
        <v>136</v>
      </c>
      <c r="E171">
        <v>16</v>
      </c>
      <c r="F171" s="5" t="s">
        <v>137</v>
      </c>
    </row>
    <row r="172" spans="1:6" ht="13.35" customHeight="1">
      <c r="A172" s="1" t="s">
        <v>138</v>
      </c>
      <c r="D172" s="2" t="s">
        <v>136</v>
      </c>
      <c r="E172">
        <v>16</v>
      </c>
      <c r="F172" s="5" t="s">
        <v>139</v>
      </c>
    </row>
    <row r="173" spans="1:6" ht="13.35" customHeight="1">
      <c r="A173" s="1" t="s">
        <v>140</v>
      </c>
      <c r="D173" s="2" t="s">
        <v>136</v>
      </c>
      <c r="E173">
        <v>16</v>
      </c>
      <c r="F173" s="5" t="s">
        <v>141</v>
      </c>
    </row>
    <row r="174" spans="1:6" ht="13.35" customHeight="1">
      <c r="A174" s="1" t="s">
        <v>142</v>
      </c>
      <c r="D174" s="2"/>
      <c r="E174">
        <v>16</v>
      </c>
      <c r="F174" s="5" t="s">
        <v>124</v>
      </c>
    </row>
    <row r="175" spans="1:6" ht="13.35" customHeight="1">
      <c r="A175" s="1" t="s">
        <v>143</v>
      </c>
      <c r="D175" s="2" t="s">
        <v>136</v>
      </c>
      <c r="E175">
        <v>16</v>
      </c>
      <c r="F175" s="5" t="s">
        <v>144</v>
      </c>
    </row>
    <row r="176" spans="1:6" ht="13.35" customHeight="1">
      <c r="A176" s="1" t="s">
        <v>145</v>
      </c>
      <c r="D176" s="2" t="s">
        <v>136</v>
      </c>
      <c r="E176">
        <v>16</v>
      </c>
      <c r="F176" s="5" t="s">
        <v>146</v>
      </c>
    </row>
    <row r="177" spans="1:6" ht="13.35" customHeight="1">
      <c r="A177" s="1" t="s">
        <v>147</v>
      </c>
      <c r="D177" s="2" t="s">
        <v>136</v>
      </c>
      <c r="E177">
        <v>16</v>
      </c>
      <c r="F177" s="5" t="s">
        <v>148</v>
      </c>
    </row>
    <row r="178" spans="1:6" ht="13.35" customHeight="1">
      <c r="A178" s="1" t="s">
        <v>149</v>
      </c>
      <c r="D178" s="2"/>
      <c r="E178">
        <v>16</v>
      </c>
      <c r="F178" s="5" t="s">
        <v>124</v>
      </c>
    </row>
    <row r="179" spans="1:6" ht="13.35" customHeight="1">
      <c r="A179" s="1" t="s">
        <v>150</v>
      </c>
      <c r="D179" s="2" t="s">
        <v>151</v>
      </c>
      <c r="E179">
        <v>16</v>
      </c>
      <c r="F179" s="5" t="s">
        <v>152</v>
      </c>
    </row>
    <row r="180" spans="1:6" ht="13.35" customHeight="1">
      <c r="A180" s="1" t="s">
        <v>153</v>
      </c>
      <c r="D180" s="2" t="s">
        <v>154</v>
      </c>
      <c r="E180">
        <v>16</v>
      </c>
      <c r="F180" s="5" t="s">
        <v>152</v>
      </c>
    </row>
    <row r="181" spans="1:6" ht="13.35" customHeight="1">
      <c r="A181" s="1" t="s">
        <v>155</v>
      </c>
      <c r="D181" s="2" t="s">
        <v>156</v>
      </c>
      <c r="E181">
        <v>16</v>
      </c>
      <c r="F181" s="5" t="s">
        <v>152</v>
      </c>
    </row>
    <row r="182" spans="1:6" ht="13.35" customHeight="1">
      <c r="D182" s="2"/>
      <c r="F182" s="5"/>
    </row>
    <row r="183" spans="1:6">
      <c r="A183" s="1" t="s">
        <v>157</v>
      </c>
      <c r="D183" s="2" t="s">
        <v>158</v>
      </c>
    </row>
    <row r="184" spans="1:6">
      <c r="D184" s="2"/>
    </row>
    <row r="185" spans="1:6">
      <c r="A185" s="1" t="s">
        <v>159</v>
      </c>
      <c r="D185" s="2" t="s">
        <v>160</v>
      </c>
      <c r="E185">
        <v>16</v>
      </c>
    </row>
    <row r="186" spans="1:6">
      <c r="A186" s="1" t="s">
        <v>161</v>
      </c>
      <c r="D186" s="2" t="s">
        <v>160</v>
      </c>
      <c r="E186">
        <v>16</v>
      </c>
    </row>
    <row r="187" spans="1:6">
      <c r="D187" s="2"/>
    </row>
    <row r="188" spans="1:6">
      <c r="A188" s="1" t="s">
        <v>162</v>
      </c>
      <c r="D188" s="2" t="s">
        <v>163</v>
      </c>
      <c r="E188">
        <v>16</v>
      </c>
      <c r="F188" s="3" t="s">
        <v>164</v>
      </c>
    </row>
    <row r="189" spans="1:6">
      <c r="A189" s="1" t="s">
        <v>165</v>
      </c>
      <c r="D189" s="2" t="s">
        <v>166</v>
      </c>
      <c r="E189">
        <v>16</v>
      </c>
      <c r="F189" s="3" t="s">
        <v>167</v>
      </c>
    </row>
    <row r="190" spans="1:6">
      <c r="A190" s="1" t="s">
        <v>168</v>
      </c>
      <c r="D190" s="2" t="s">
        <v>169</v>
      </c>
      <c r="E190">
        <v>16</v>
      </c>
      <c r="F190" s="3" t="s">
        <v>170</v>
      </c>
    </row>
    <row r="191" spans="1:6">
      <c r="A191" s="1" t="s">
        <v>171</v>
      </c>
      <c r="D191" s="2" t="s">
        <v>172</v>
      </c>
      <c r="E191">
        <v>16</v>
      </c>
      <c r="F191" s="3" t="s">
        <v>170</v>
      </c>
    </row>
    <row r="192" spans="1:6">
      <c r="A192" s="1" t="s">
        <v>173</v>
      </c>
      <c r="D192" s="2" t="s">
        <v>174</v>
      </c>
      <c r="E192">
        <v>16</v>
      </c>
    </row>
    <row r="193" spans="1:6">
      <c r="A193" s="1" t="s">
        <v>175</v>
      </c>
      <c r="D193" s="2" t="s">
        <v>176</v>
      </c>
      <c r="E193">
        <v>16</v>
      </c>
    </row>
    <row r="194" spans="1:6">
      <c r="D194" s="2"/>
    </row>
    <row r="195" spans="1:6">
      <c r="A195" s="1" t="s">
        <v>177</v>
      </c>
      <c r="D195" s="2" t="s">
        <v>178</v>
      </c>
      <c r="E195">
        <v>8</v>
      </c>
    </row>
    <row r="196" spans="1:6">
      <c r="A196" s="1" t="s">
        <v>179</v>
      </c>
      <c r="D196" s="2" t="s">
        <v>180</v>
      </c>
      <c r="E196">
        <v>8</v>
      </c>
    </row>
    <row r="197" spans="1:6">
      <c r="A197" s="1" t="s">
        <v>181</v>
      </c>
      <c r="D197" s="2" t="s">
        <v>182</v>
      </c>
      <c r="E197">
        <v>8</v>
      </c>
    </row>
    <row r="198" spans="1:6">
      <c r="D198" s="2"/>
    </row>
    <row r="200" spans="1:6">
      <c r="A200" s="1" t="s">
        <v>183</v>
      </c>
      <c r="D200" s="2" t="s">
        <v>184</v>
      </c>
    </row>
    <row r="201" spans="1:6">
      <c r="D201" s="2"/>
    </row>
    <row r="202" spans="1:6">
      <c r="D202" s="2"/>
    </row>
    <row r="203" spans="1:6">
      <c r="D203" s="2"/>
    </row>
    <row r="204" spans="1:6">
      <c r="A204" s="1">
        <v>48670</v>
      </c>
      <c r="D204" s="2" t="s">
        <v>185</v>
      </c>
      <c r="F204" s="3" t="s">
        <v>186</v>
      </c>
    </row>
    <row r="205" spans="1:6">
      <c r="D205" s="2"/>
    </row>
    <row r="206" spans="1:6">
      <c r="A206" s="1" t="s">
        <v>187</v>
      </c>
      <c r="D206" s="2" t="s">
        <v>188</v>
      </c>
      <c r="E206">
        <v>16</v>
      </c>
    </row>
    <row r="207" spans="1:6">
      <c r="D207" s="2"/>
    </row>
    <row r="208" spans="1:6">
      <c r="A208" s="1" t="s">
        <v>189</v>
      </c>
      <c r="D208" s="2" t="s">
        <v>190</v>
      </c>
      <c r="E208">
        <v>64</v>
      </c>
    </row>
    <row r="209" spans="1:8">
      <c r="D209" s="2"/>
    </row>
    <row r="210" spans="1:8">
      <c r="A210" s="1" t="s">
        <v>191</v>
      </c>
      <c r="D210" s="2" t="s">
        <v>192</v>
      </c>
      <c r="E210">
        <v>64</v>
      </c>
      <c r="F210" s="3" t="s">
        <v>193</v>
      </c>
    </row>
    <row r="211" spans="1:8">
      <c r="A211" s="1" t="s">
        <v>194</v>
      </c>
      <c r="D211" s="2" t="s">
        <v>192</v>
      </c>
      <c r="E211">
        <v>64</v>
      </c>
      <c r="F211" s="3" t="s">
        <v>195</v>
      </c>
    </row>
    <row r="212" spans="1:8">
      <c r="A212" s="1" t="s">
        <v>196</v>
      </c>
      <c r="D212" s="2" t="s">
        <v>192</v>
      </c>
      <c r="E212">
        <v>64</v>
      </c>
      <c r="F212" s="3" t="s">
        <v>197</v>
      </c>
    </row>
    <row r="213" spans="1:8">
      <c r="A213" s="1" t="s">
        <v>198</v>
      </c>
      <c r="D213" s="2" t="s">
        <v>192</v>
      </c>
      <c r="E213">
        <v>64</v>
      </c>
      <c r="F213" s="3" t="s">
        <v>197</v>
      </c>
    </row>
    <row r="214" spans="1:8">
      <c r="A214" s="1" t="s">
        <v>199</v>
      </c>
      <c r="D214" s="2" t="s">
        <v>200</v>
      </c>
      <c r="E214">
        <v>64</v>
      </c>
      <c r="F214" s="3">
        <v>3.1300000000000002E-4</v>
      </c>
      <c r="H214" t="s">
        <v>201</v>
      </c>
    </row>
    <row r="215" spans="1:8">
      <c r="A215" s="1" t="s">
        <v>202</v>
      </c>
      <c r="D215" t="s">
        <v>200</v>
      </c>
      <c r="E215">
        <v>64</v>
      </c>
      <c r="F215" s="3" t="s">
        <v>203</v>
      </c>
      <c r="G215" t="s">
        <v>204</v>
      </c>
      <c r="H215" t="s">
        <v>205</v>
      </c>
    </row>
    <row r="216" spans="1:8">
      <c r="A216" s="1" t="s">
        <v>206</v>
      </c>
      <c r="D216" t="s">
        <v>192</v>
      </c>
      <c r="E216">
        <v>64</v>
      </c>
      <c r="F216" s="3" t="s">
        <v>207</v>
      </c>
    </row>
    <row r="217" spans="1:8">
      <c r="A217" s="1" t="s">
        <v>208</v>
      </c>
      <c r="D217" t="s">
        <v>192</v>
      </c>
      <c r="E217">
        <v>64</v>
      </c>
      <c r="F217" s="3" t="s">
        <v>209</v>
      </c>
    </row>
    <row r="219" spans="1:8">
      <c r="A219" s="1" t="s">
        <v>210</v>
      </c>
      <c r="D219" t="s">
        <v>211</v>
      </c>
      <c r="E219">
        <v>64</v>
      </c>
    </row>
    <row r="220" spans="1:8">
      <c r="A220" s="1" t="s">
        <v>212</v>
      </c>
      <c r="E220">
        <v>64</v>
      </c>
    </row>
    <row r="221" spans="1:8">
      <c r="A221" s="1" t="s">
        <v>213</v>
      </c>
      <c r="D221" t="s">
        <v>214</v>
      </c>
      <c r="E221">
        <v>64</v>
      </c>
    </row>
    <row r="223" spans="1:8">
      <c r="A223" s="1" t="s">
        <v>215</v>
      </c>
      <c r="D223" t="s">
        <v>216</v>
      </c>
      <c r="E223">
        <v>64</v>
      </c>
    </row>
    <row r="224" spans="1:8">
      <c r="A224" s="1" t="s">
        <v>217</v>
      </c>
      <c r="D224" t="s">
        <v>216</v>
      </c>
      <c r="E224">
        <v>64</v>
      </c>
    </row>
    <row r="225" spans="1:7">
      <c r="A225" s="1" t="s">
        <v>218</v>
      </c>
      <c r="D225" t="s">
        <v>216</v>
      </c>
      <c r="E225">
        <v>64</v>
      </c>
      <c r="F225" s="3" t="s">
        <v>219</v>
      </c>
      <c r="G225">
        <v>0.16600000000000001</v>
      </c>
    </row>
    <row r="226" spans="1:7">
      <c r="A226" s="1" t="s">
        <v>220</v>
      </c>
      <c r="D226" t="s">
        <v>216</v>
      </c>
      <c r="E226">
        <v>64</v>
      </c>
    </row>
    <row r="231" spans="1:7">
      <c r="A231" s="1" t="s">
        <v>221</v>
      </c>
      <c r="D231" t="s">
        <v>222</v>
      </c>
      <c r="E231">
        <v>64</v>
      </c>
      <c r="F231" s="3" t="s">
        <v>223</v>
      </c>
    </row>
    <row r="232" spans="1:7">
      <c r="A232" s="1" t="s">
        <v>224</v>
      </c>
      <c r="D232" t="s">
        <v>225</v>
      </c>
      <c r="E232">
        <v>64</v>
      </c>
      <c r="F232" s="3" t="s">
        <v>226</v>
      </c>
    </row>
    <row r="233" spans="1:7">
      <c r="D233" t="s">
        <v>227</v>
      </c>
    </row>
    <row r="235" spans="1:7">
      <c r="A235" s="1" t="s">
        <v>228</v>
      </c>
      <c r="D235" t="s">
        <v>229</v>
      </c>
    </row>
    <row r="236" spans="1:7">
      <c r="A236" s="1" t="s">
        <v>230</v>
      </c>
      <c r="D236" t="s">
        <v>231</v>
      </c>
    </row>
    <row r="238" spans="1:7">
      <c r="A238" s="1" t="s">
        <v>232</v>
      </c>
      <c r="D238" t="s">
        <v>233</v>
      </c>
    </row>
    <row r="240" spans="1:7">
      <c r="A240" s="1" t="s">
        <v>234</v>
      </c>
      <c r="D240" t="s">
        <v>235</v>
      </c>
    </row>
    <row r="242" spans="1:6">
      <c r="A242" s="1">
        <v>57002</v>
      </c>
      <c r="D242" t="s">
        <v>236</v>
      </c>
    </row>
    <row r="244" spans="1:6">
      <c r="A244" s="1" t="s">
        <v>237</v>
      </c>
      <c r="D244" t="s">
        <v>238</v>
      </c>
      <c r="E244">
        <v>16</v>
      </c>
    </row>
    <row r="245" spans="1:6">
      <c r="A245" s="1" t="s">
        <v>239</v>
      </c>
      <c r="D245" t="s">
        <v>240</v>
      </c>
      <c r="E245">
        <v>16</v>
      </c>
    </row>
    <row r="248" spans="1:6">
      <c r="A248" s="1" t="s">
        <v>241</v>
      </c>
      <c r="D248" t="s">
        <v>242</v>
      </c>
      <c r="F248" s="3" t="s">
        <v>243</v>
      </c>
    </row>
    <row r="250" spans="1:6">
      <c r="A250" s="1" t="s">
        <v>244</v>
      </c>
      <c r="D250" t="s">
        <v>245</v>
      </c>
      <c r="E250">
        <v>16</v>
      </c>
      <c r="F250" s="3" t="s">
        <v>243</v>
      </c>
    </row>
    <row r="251" spans="1:6">
      <c r="A251" s="1" t="s">
        <v>246</v>
      </c>
      <c r="D251" t="s">
        <v>247</v>
      </c>
      <c r="E251">
        <v>16</v>
      </c>
      <c r="F251" s="3" t="s">
        <v>243</v>
      </c>
    </row>
    <row r="253" spans="1:6">
      <c r="A253" s="1" t="s">
        <v>248</v>
      </c>
      <c r="D253" t="s">
        <v>249</v>
      </c>
      <c r="E253">
        <v>16</v>
      </c>
    </row>
    <row r="254" spans="1:6">
      <c r="A254" s="1" t="s">
        <v>250</v>
      </c>
      <c r="D254" t="s">
        <v>251</v>
      </c>
      <c r="E254">
        <v>16</v>
      </c>
    </row>
    <row r="256" spans="1:6">
      <c r="A256" s="1" t="s">
        <v>252</v>
      </c>
      <c r="D256" t="s">
        <v>253</v>
      </c>
      <c r="E256">
        <v>32</v>
      </c>
    </row>
    <row r="258" spans="1:6" ht="12.6" customHeight="1">
      <c r="A258" s="1" t="s">
        <v>254</v>
      </c>
      <c r="D258" t="s">
        <v>255</v>
      </c>
      <c r="E258">
        <v>32</v>
      </c>
      <c r="F258" s="3" t="s">
        <v>256</v>
      </c>
    </row>
    <row r="259" spans="1:6" ht="12.6" customHeight="1"/>
    <row r="260" spans="1:6" ht="12.6" customHeight="1">
      <c r="A260" s="1" t="s">
        <v>257</v>
      </c>
      <c r="D260" t="s">
        <v>258</v>
      </c>
      <c r="E260">
        <v>32</v>
      </c>
    </row>
    <row r="261" spans="1:6" ht="12.6" customHeight="1"/>
    <row r="262" spans="1:6" ht="12.6" customHeight="1">
      <c r="A262" s="1" t="s">
        <v>259</v>
      </c>
      <c r="D262" t="s">
        <v>260</v>
      </c>
      <c r="E262">
        <v>32</v>
      </c>
    </row>
    <row r="263" spans="1:6" ht="12.6" customHeight="1"/>
    <row r="264" spans="1:6" ht="12.6" customHeight="1">
      <c r="A264" s="1" t="s">
        <v>7731</v>
      </c>
      <c r="D264" t="s">
        <v>7732</v>
      </c>
      <c r="E264">
        <v>16</v>
      </c>
    </row>
    <row r="265" spans="1:6" ht="12.6" customHeight="1"/>
    <row r="267" spans="1:6">
      <c r="A267" s="1" t="s">
        <v>261</v>
      </c>
      <c r="D267" t="s">
        <v>262</v>
      </c>
      <c r="E267">
        <v>32</v>
      </c>
      <c r="F267" s="3" t="s">
        <v>263</v>
      </c>
    </row>
    <row r="269" spans="1:6">
      <c r="A269" s="1" t="s">
        <v>264</v>
      </c>
      <c r="D269" t="s">
        <v>265</v>
      </c>
      <c r="E269">
        <v>16</v>
      </c>
      <c r="F269" s="3" t="s">
        <v>266</v>
      </c>
    </row>
    <row r="271" spans="1:6">
      <c r="A271" s="1" t="s">
        <v>267</v>
      </c>
      <c r="D271" t="s">
        <v>268</v>
      </c>
      <c r="E271">
        <v>16</v>
      </c>
    </row>
    <row r="273" spans="1:6">
      <c r="A273" s="1" t="s">
        <v>269</v>
      </c>
      <c r="D273" t="s">
        <v>270</v>
      </c>
      <c r="E273">
        <v>16</v>
      </c>
      <c r="F273" s="3" t="s">
        <v>271</v>
      </c>
    </row>
    <row r="274" spans="1:6">
      <c r="A274" s="1" t="s">
        <v>272</v>
      </c>
      <c r="D274" t="s">
        <v>273</v>
      </c>
      <c r="E274">
        <v>16</v>
      </c>
    </row>
    <row r="275" spans="1:6">
      <c r="A275" s="1" t="s">
        <v>274</v>
      </c>
      <c r="D275" t="s">
        <v>275</v>
      </c>
      <c r="E275">
        <v>16</v>
      </c>
    </row>
    <row r="276" spans="1:6">
      <c r="A276" s="1" t="s">
        <v>276</v>
      </c>
      <c r="D276" t="s">
        <v>277</v>
      </c>
      <c r="E276">
        <v>16</v>
      </c>
    </row>
    <row r="278" spans="1:6">
      <c r="A278" s="1" t="s">
        <v>278</v>
      </c>
      <c r="D278" t="s">
        <v>279</v>
      </c>
      <c r="F278" s="3" t="s">
        <v>280</v>
      </c>
    </row>
    <row r="279" spans="1:6">
      <c r="A279" s="1" t="s">
        <v>281</v>
      </c>
      <c r="D279" t="s">
        <v>282</v>
      </c>
    </row>
    <row r="281" spans="1:6">
      <c r="A281" s="1" t="s">
        <v>283</v>
      </c>
      <c r="D281" t="s">
        <v>284</v>
      </c>
      <c r="E281">
        <v>32</v>
      </c>
    </row>
    <row r="283" spans="1:6">
      <c r="A283" s="1" t="s">
        <v>285</v>
      </c>
      <c r="D283" t="s">
        <v>286</v>
      </c>
      <c r="E283">
        <v>32</v>
      </c>
    </row>
    <row r="285" spans="1:6">
      <c r="D285" t="s">
        <v>287</v>
      </c>
    </row>
    <row r="287" spans="1:6">
      <c r="A287" s="1" t="s">
        <v>288</v>
      </c>
      <c r="D287" t="s">
        <v>289</v>
      </c>
    </row>
    <row r="289" spans="1:6">
      <c r="A289" s="1" t="s">
        <v>290</v>
      </c>
      <c r="D289" t="s">
        <v>291</v>
      </c>
    </row>
    <row r="291" spans="1:6">
      <c r="A291" s="1" t="s">
        <v>292</v>
      </c>
      <c r="B291" s="2" t="s">
        <v>293</v>
      </c>
      <c r="D291" t="s">
        <v>294</v>
      </c>
      <c r="E291">
        <v>32</v>
      </c>
    </row>
    <row r="292" spans="1:6">
      <c r="A292" s="1" t="s">
        <v>295</v>
      </c>
      <c r="B292" s="2" t="s">
        <v>296</v>
      </c>
      <c r="D292" s="6" t="s">
        <v>297</v>
      </c>
      <c r="E292">
        <v>32</v>
      </c>
      <c r="F292" s="3" t="s">
        <v>298</v>
      </c>
    </row>
    <row r="293" spans="1:6">
      <c r="A293" s="1" t="s">
        <v>299</v>
      </c>
      <c r="B293" s="2" t="s">
        <v>300</v>
      </c>
      <c r="D293" t="s">
        <v>301</v>
      </c>
      <c r="E293">
        <v>32</v>
      </c>
      <c r="F293" s="3">
        <v>0</v>
      </c>
    </row>
    <row r="294" spans="1:6">
      <c r="A294" s="1" t="s">
        <v>302</v>
      </c>
      <c r="B294" s="2" t="s">
        <v>303</v>
      </c>
      <c r="D294" t="s">
        <v>304</v>
      </c>
      <c r="E294">
        <v>32</v>
      </c>
      <c r="F294" s="3">
        <v>0</v>
      </c>
    </row>
    <row r="295" spans="1:6">
      <c r="A295" s="1" t="s">
        <v>305</v>
      </c>
      <c r="B295" s="2" t="s">
        <v>306</v>
      </c>
      <c r="D295" t="s">
        <v>307</v>
      </c>
      <c r="E295">
        <v>32</v>
      </c>
      <c r="F295" s="3">
        <v>0</v>
      </c>
    </row>
    <row r="296" spans="1:6">
      <c r="A296" s="1" t="s">
        <v>308</v>
      </c>
      <c r="B296" s="2" t="s">
        <v>309</v>
      </c>
      <c r="D296" t="s">
        <v>310</v>
      </c>
      <c r="E296">
        <v>32</v>
      </c>
      <c r="F296" s="3">
        <v>0</v>
      </c>
    </row>
    <row r="297" spans="1:6">
      <c r="A297" s="1" t="s">
        <v>311</v>
      </c>
      <c r="B297" s="2" t="s">
        <v>312</v>
      </c>
      <c r="D297" s="6" t="s">
        <v>313</v>
      </c>
      <c r="E297">
        <v>32</v>
      </c>
      <c r="F297" s="3" t="s">
        <v>298</v>
      </c>
    </row>
    <row r="298" spans="1:6">
      <c r="A298" s="1" t="s">
        <v>314</v>
      </c>
      <c r="B298" s="2" t="s">
        <v>315</v>
      </c>
      <c r="D298" t="s">
        <v>316</v>
      </c>
      <c r="E298">
        <v>32</v>
      </c>
      <c r="F298" s="3">
        <v>0</v>
      </c>
    </row>
    <row r="299" spans="1:6">
      <c r="A299" s="1" t="s">
        <v>317</v>
      </c>
      <c r="B299" s="2" t="s">
        <v>318</v>
      </c>
      <c r="D299" t="s">
        <v>319</v>
      </c>
      <c r="E299">
        <v>32</v>
      </c>
      <c r="F299" s="3">
        <v>0</v>
      </c>
    </row>
    <row r="300" spans="1:6">
      <c r="A300" s="1" t="s">
        <v>320</v>
      </c>
      <c r="B300" s="2" t="s">
        <v>321</v>
      </c>
      <c r="D300" t="s">
        <v>322</v>
      </c>
      <c r="E300">
        <v>32</v>
      </c>
      <c r="F300" s="3">
        <v>0</v>
      </c>
    </row>
    <row r="301" spans="1:6">
      <c r="A301" s="1" t="s">
        <v>323</v>
      </c>
      <c r="B301" s="2" t="s">
        <v>324</v>
      </c>
      <c r="D301" t="s">
        <v>325</v>
      </c>
      <c r="E301">
        <v>32</v>
      </c>
      <c r="F301" s="3">
        <v>0</v>
      </c>
    </row>
    <row r="302" spans="1:6">
      <c r="A302" s="1" t="s">
        <v>326</v>
      </c>
      <c r="B302" s="2" t="s">
        <v>327</v>
      </c>
      <c r="D302" s="6" t="s">
        <v>328</v>
      </c>
      <c r="E302">
        <v>32</v>
      </c>
      <c r="F302" s="3" t="s">
        <v>298</v>
      </c>
    </row>
    <row r="303" spans="1:6">
      <c r="A303" s="1" t="s">
        <v>329</v>
      </c>
      <c r="B303" s="2" t="s">
        <v>330</v>
      </c>
      <c r="D303" t="s">
        <v>331</v>
      </c>
      <c r="E303">
        <v>32</v>
      </c>
      <c r="F303" s="3">
        <v>0</v>
      </c>
    </row>
    <row r="304" spans="1:6">
      <c r="A304" s="1" t="s">
        <v>332</v>
      </c>
      <c r="B304" s="2" t="s">
        <v>333</v>
      </c>
      <c r="E304">
        <v>32</v>
      </c>
    </row>
    <row r="305" spans="1:5">
      <c r="A305" s="1" t="s">
        <v>334</v>
      </c>
      <c r="B305" t="s">
        <v>335</v>
      </c>
      <c r="E305">
        <v>32</v>
      </c>
    </row>
    <row r="307" spans="1:5">
      <c r="A307" s="1" t="s">
        <v>336</v>
      </c>
      <c r="D307" t="s">
        <v>337</v>
      </c>
      <c r="E307">
        <v>32</v>
      </c>
    </row>
    <row r="308" spans="1:5">
      <c r="A308" s="1" t="s">
        <v>338</v>
      </c>
    </row>
    <row r="309" spans="1:5">
      <c r="A309" s="1" t="s">
        <v>339</v>
      </c>
    </row>
    <row r="311" spans="1:5">
      <c r="A311" s="1" t="s">
        <v>340</v>
      </c>
      <c r="D311" t="s">
        <v>341</v>
      </c>
    </row>
    <row r="315" spans="1:5">
      <c r="A315" s="1" t="s">
        <v>342</v>
      </c>
      <c r="D315" t="s">
        <v>343</v>
      </c>
    </row>
    <row r="317" spans="1:5">
      <c r="A317" s="1" t="s">
        <v>344</v>
      </c>
      <c r="D317" t="s">
        <v>345</v>
      </c>
    </row>
    <row r="319" spans="1:5">
      <c r="A319" s="1" t="s">
        <v>346</v>
      </c>
      <c r="D319" t="s">
        <v>347</v>
      </c>
    </row>
    <row r="321" spans="1:9">
      <c r="A321" s="1" t="s">
        <v>348</v>
      </c>
      <c r="D321" t="s">
        <v>349</v>
      </c>
    </row>
    <row r="322" spans="1:9">
      <c r="A322" s="1" t="s">
        <v>350</v>
      </c>
      <c r="D322" t="s">
        <v>349</v>
      </c>
    </row>
    <row r="324" spans="1:9">
      <c r="A324" s="1" t="s">
        <v>351</v>
      </c>
      <c r="D324" t="s">
        <v>352</v>
      </c>
      <c r="E324">
        <v>32</v>
      </c>
    </row>
    <row r="326" spans="1:9">
      <c r="A326" s="1" t="s">
        <v>353</v>
      </c>
      <c r="D326" t="s">
        <v>354</v>
      </c>
      <c r="E326">
        <v>32</v>
      </c>
    </row>
    <row r="328" spans="1:9">
      <c r="A328" s="1" t="s">
        <v>355</v>
      </c>
      <c r="D328" t="s">
        <v>356</v>
      </c>
      <c r="E328">
        <v>16</v>
      </c>
      <c r="F328" s="3" t="s">
        <v>357</v>
      </c>
      <c r="G328" t="s">
        <v>358</v>
      </c>
      <c r="I328" t="s">
        <v>359</v>
      </c>
    </row>
    <row r="330" spans="1:9">
      <c r="A330" s="1" t="s">
        <v>360</v>
      </c>
      <c r="D330" t="s">
        <v>361</v>
      </c>
      <c r="E330">
        <v>16</v>
      </c>
    </row>
    <row r="332" spans="1:9">
      <c r="D332" t="s">
        <v>362</v>
      </c>
      <c r="E332">
        <v>16</v>
      </c>
    </row>
    <row r="334" spans="1:9">
      <c r="D334" t="s">
        <v>363</v>
      </c>
      <c r="E334">
        <v>16</v>
      </c>
    </row>
    <row r="336" spans="1:9">
      <c r="A336" s="1" t="s">
        <v>364</v>
      </c>
      <c r="D336" t="s">
        <v>365</v>
      </c>
      <c r="E336">
        <v>8</v>
      </c>
      <c r="F336" s="3" t="s">
        <v>366</v>
      </c>
    </row>
    <row r="338" spans="1:9">
      <c r="A338" s="1" t="s">
        <v>367</v>
      </c>
      <c r="D338" t="s">
        <v>368</v>
      </c>
      <c r="E338">
        <v>8</v>
      </c>
    </row>
    <row r="340" spans="1:9">
      <c r="A340" s="1" t="s">
        <v>369</v>
      </c>
      <c r="D340" t="s">
        <v>370</v>
      </c>
      <c r="E340">
        <v>8</v>
      </c>
    </row>
    <row r="342" spans="1:9">
      <c r="A342" s="1">
        <v>92040</v>
      </c>
      <c r="D342" t="s">
        <v>371</v>
      </c>
      <c r="E342">
        <v>8</v>
      </c>
    </row>
    <row r="344" spans="1:9">
      <c r="A344" s="1">
        <v>92310</v>
      </c>
      <c r="D344" t="s">
        <v>372</v>
      </c>
      <c r="E344">
        <v>8</v>
      </c>
    </row>
    <row r="346" spans="1:9">
      <c r="A346" s="1" t="s">
        <v>373</v>
      </c>
      <c r="D346" t="s">
        <v>374</v>
      </c>
      <c r="E346">
        <v>8</v>
      </c>
    </row>
    <row r="350" spans="1:9">
      <c r="A350" s="1" t="s">
        <v>375</v>
      </c>
      <c r="D350" t="s">
        <v>376</v>
      </c>
      <c r="E350">
        <v>32</v>
      </c>
      <c r="F350" s="3" t="s">
        <v>377</v>
      </c>
      <c r="G350" t="s">
        <v>378</v>
      </c>
      <c r="I350" t="s">
        <v>379</v>
      </c>
    </row>
    <row r="351" spans="1:9">
      <c r="A351" s="1" t="s">
        <v>380</v>
      </c>
      <c r="D351" t="s">
        <v>381</v>
      </c>
      <c r="E351">
        <v>32</v>
      </c>
      <c r="F351" s="3" t="s">
        <v>382</v>
      </c>
    </row>
    <row r="352" spans="1:9">
      <c r="A352" s="1" t="s">
        <v>383</v>
      </c>
      <c r="D352" t="s">
        <v>384</v>
      </c>
      <c r="E352">
        <v>8</v>
      </c>
      <c r="F352" s="3" t="s">
        <v>385</v>
      </c>
    </row>
    <row r="353" spans="1:7">
      <c r="A353" s="1" t="s">
        <v>386</v>
      </c>
      <c r="D353" t="s">
        <v>387</v>
      </c>
      <c r="E353">
        <v>8</v>
      </c>
      <c r="F353" s="3" t="s">
        <v>388</v>
      </c>
    </row>
    <row r="354" spans="1:7">
      <c r="A354" s="1" t="s">
        <v>389</v>
      </c>
    </row>
    <row r="356" spans="1:7">
      <c r="A356" s="1" t="s">
        <v>390</v>
      </c>
      <c r="D356" t="s">
        <v>391</v>
      </c>
      <c r="E356">
        <v>8</v>
      </c>
      <c r="F356" s="3" t="s">
        <v>392</v>
      </c>
      <c r="G356" t="s">
        <v>393</v>
      </c>
    </row>
    <row r="358" spans="1:7">
      <c r="A358" s="1" t="s">
        <v>394</v>
      </c>
      <c r="D358" t="s">
        <v>395</v>
      </c>
    </row>
    <row r="360" spans="1:7">
      <c r="A360" s="1" t="s">
        <v>396</v>
      </c>
      <c r="D360" t="s">
        <v>397</v>
      </c>
      <c r="E360">
        <v>8</v>
      </c>
    </row>
    <row r="363" spans="1:7">
      <c r="A363" s="1" t="s">
        <v>398</v>
      </c>
      <c r="D363" t="s">
        <v>399</v>
      </c>
    </row>
    <row r="365" spans="1:7">
      <c r="A365" s="1" t="s">
        <v>400</v>
      </c>
      <c r="D365" t="s">
        <v>401</v>
      </c>
      <c r="E365">
        <v>16</v>
      </c>
    </row>
    <row r="367" spans="1:7">
      <c r="A367" s="1" t="s">
        <v>402</v>
      </c>
      <c r="D367" t="s">
        <v>403</v>
      </c>
      <c r="E367">
        <v>32</v>
      </c>
    </row>
    <row r="369" spans="1:7">
      <c r="A369" s="1" t="s">
        <v>404</v>
      </c>
      <c r="B369" s="2" t="s">
        <v>521</v>
      </c>
      <c r="D369" t="s">
        <v>8182</v>
      </c>
      <c r="E369">
        <v>32</v>
      </c>
      <c r="F369" s="3" t="s">
        <v>405</v>
      </c>
      <c r="G369" t="s">
        <v>8169</v>
      </c>
    </row>
    <row r="370" spans="1:7">
      <c r="A370" s="1" t="s">
        <v>8170</v>
      </c>
      <c r="B370" s="2" t="s">
        <v>536</v>
      </c>
      <c r="D370" t="s">
        <v>8175</v>
      </c>
      <c r="E370">
        <v>16</v>
      </c>
    </row>
    <row r="371" spans="1:7">
      <c r="A371" s="1" t="s">
        <v>8173</v>
      </c>
      <c r="B371" s="2" t="s">
        <v>544</v>
      </c>
      <c r="D371" t="s">
        <v>8176</v>
      </c>
      <c r="E371">
        <v>16</v>
      </c>
    </row>
    <row r="372" spans="1:7">
      <c r="A372" s="1" t="s">
        <v>8171</v>
      </c>
      <c r="B372" s="2" t="s">
        <v>551</v>
      </c>
      <c r="D372" t="s">
        <v>8177</v>
      </c>
      <c r="E372">
        <v>16</v>
      </c>
    </row>
    <row r="373" spans="1:7">
      <c r="A373" s="1" t="s">
        <v>8174</v>
      </c>
      <c r="B373" s="2" t="s">
        <v>557</v>
      </c>
      <c r="D373" t="s">
        <v>8179</v>
      </c>
      <c r="E373">
        <v>8</v>
      </c>
      <c r="F373" s="3" t="s">
        <v>8183</v>
      </c>
    </row>
    <row r="374" spans="1:7">
      <c r="A374" s="1" t="s">
        <v>8178</v>
      </c>
      <c r="B374" s="2" t="s">
        <v>560</v>
      </c>
      <c r="D374" t="s">
        <v>8180</v>
      </c>
      <c r="E374">
        <v>8</v>
      </c>
      <c r="F374" s="3" t="s">
        <v>8183</v>
      </c>
    </row>
    <row r="376" spans="1:7">
      <c r="A376" s="1" t="s">
        <v>8172</v>
      </c>
      <c r="B376" s="2" t="s">
        <v>521</v>
      </c>
      <c r="D376" t="s">
        <v>8181</v>
      </c>
      <c r="E376">
        <v>32</v>
      </c>
    </row>
    <row r="385" spans="1:6">
      <c r="A385" s="1" t="s">
        <v>406</v>
      </c>
      <c r="D385" t="s">
        <v>407</v>
      </c>
      <c r="E385">
        <v>8</v>
      </c>
      <c r="F385" s="3" t="s">
        <v>408</v>
      </c>
    </row>
    <row r="386" spans="1:6">
      <c r="A386" s="1" t="s">
        <v>409</v>
      </c>
      <c r="D386" t="s">
        <v>410</v>
      </c>
      <c r="E386">
        <v>8</v>
      </c>
    </row>
    <row r="387" spans="1:6">
      <c r="A387" s="1" t="s">
        <v>411</v>
      </c>
      <c r="D387" t="s">
        <v>412</v>
      </c>
      <c r="E387">
        <v>8</v>
      </c>
    </row>
    <row r="388" spans="1:6">
      <c r="A388" s="1" t="s">
        <v>413</v>
      </c>
      <c r="D388" t="s">
        <v>412</v>
      </c>
      <c r="E388">
        <v>8</v>
      </c>
    </row>
    <row r="389" spans="1:6">
      <c r="A389" s="1" t="s">
        <v>414</v>
      </c>
      <c r="D389" t="s">
        <v>412</v>
      </c>
      <c r="E389">
        <v>8</v>
      </c>
    </row>
    <row r="390" spans="1:6">
      <c r="A390" s="1" t="s">
        <v>415</v>
      </c>
      <c r="D390" t="s">
        <v>412</v>
      </c>
      <c r="E390">
        <v>8</v>
      </c>
    </row>
    <row r="391" spans="1:6">
      <c r="A391" s="1" t="s">
        <v>416</v>
      </c>
      <c r="D391" t="s">
        <v>8208</v>
      </c>
      <c r="E391">
        <v>16</v>
      </c>
    </row>
    <row r="392" spans="1:6">
      <c r="A392" s="1" t="s">
        <v>417</v>
      </c>
      <c r="D392" t="s">
        <v>418</v>
      </c>
      <c r="E392">
        <v>16</v>
      </c>
    </row>
    <row r="394" spans="1:6">
      <c r="A394" s="1" t="s">
        <v>419</v>
      </c>
      <c r="D394" t="s">
        <v>420</v>
      </c>
    </row>
    <row r="395" spans="1:6">
      <c r="A395" s="1" t="s">
        <v>421</v>
      </c>
      <c r="D395" t="s">
        <v>422</v>
      </c>
    </row>
    <row r="399" spans="1:6">
      <c r="A399" s="1" t="s">
        <v>423</v>
      </c>
      <c r="D399" t="s">
        <v>424</v>
      </c>
    </row>
    <row r="400" spans="1:6">
      <c r="A400" s="1" t="s">
        <v>425</v>
      </c>
      <c r="D400" t="s">
        <v>426</v>
      </c>
    </row>
    <row r="402" spans="1:6">
      <c r="A402" s="1" t="s">
        <v>427</v>
      </c>
      <c r="D402" t="s">
        <v>428</v>
      </c>
      <c r="E402">
        <v>8</v>
      </c>
    </row>
    <row r="405" spans="1:6">
      <c r="A405" s="1" t="s">
        <v>429</v>
      </c>
      <c r="D405" t="s">
        <v>430</v>
      </c>
      <c r="E405">
        <v>16</v>
      </c>
    </row>
    <row r="406" spans="1:6">
      <c r="A406" s="1" t="s">
        <v>431</v>
      </c>
      <c r="D406" t="s">
        <v>432</v>
      </c>
      <c r="E406">
        <v>16</v>
      </c>
    </row>
    <row r="407" spans="1:6">
      <c r="A407" s="1" t="s">
        <v>433</v>
      </c>
    </row>
    <row r="408" spans="1:6">
      <c r="A408" s="1" t="s">
        <v>434</v>
      </c>
      <c r="D408" t="s">
        <v>435</v>
      </c>
      <c r="E408">
        <v>16</v>
      </c>
      <c r="F408" s="3" t="s">
        <v>436</v>
      </c>
    </row>
    <row r="409" spans="1:6">
      <c r="A409" s="1" t="s">
        <v>437</v>
      </c>
      <c r="D409" t="s">
        <v>438</v>
      </c>
      <c r="E409">
        <v>16</v>
      </c>
      <c r="F409" s="3" t="s">
        <v>436</v>
      </c>
    </row>
    <row r="411" spans="1:6">
      <c r="A411" s="1" t="s">
        <v>439</v>
      </c>
      <c r="D411" t="s">
        <v>440</v>
      </c>
      <c r="E411">
        <v>8</v>
      </c>
    </row>
    <row r="412" spans="1:6">
      <c r="A412" s="1" t="s">
        <v>441</v>
      </c>
      <c r="D412" t="s">
        <v>442</v>
      </c>
      <c r="E412">
        <v>8</v>
      </c>
    </row>
    <row r="413" spans="1:6">
      <c r="A413" s="1" t="s">
        <v>443</v>
      </c>
      <c r="D413" t="s">
        <v>444</v>
      </c>
      <c r="E413">
        <v>8</v>
      </c>
      <c r="F413" s="3" t="s">
        <v>445</v>
      </c>
    </row>
    <row r="414" spans="1:6">
      <c r="A414" s="1" t="s">
        <v>446</v>
      </c>
      <c r="D414" t="s">
        <v>447</v>
      </c>
      <c r="E414">
        <v>8</v>
      </c>
    </row>
    <row r="415" spans="1:6">
      <c r="A415" s="1" t="s">
        <v>448</v>
      </c>
      <c r="D415" t="s">
        <v>449</v>
      </c>
      <c r="E415">
        <v>8</v>
      </c>
    </row>
    <row r="416" spans="1:6">
      <c r="A416" s="1" t="s">
        <v>450</v>
      </c>
      <c r="E416">
        <v>8</v>
      </c>
    </row>
    <row r="417" spans="1:7">
      <c r="A417" s="1" t="s">
        <v>451</v>
      </c>
      <c r="D417" t="s">
        <v>452</v>
      </c>
      <c r="E417">
        <v>8</v>
      </c>
    </row>
    <row r="419" spans="1:7">
      <c r="A419" s="1" t="s">
        <v>453</v>
      </c>
      <c r="D419" t="s">
        <v>454</v>
      </c>
      <c r="E419">
        <v>8</v>
      </c>
    </row>
    <row r="420" spans="1:7">
      <c r="A420" s="1" t="s">
        <v>455</v>
      </c>
      <c r="D420" t="s">
        <v>456</v>
      </c>
      <c r="E420">
        <v>8</v>
      </c>
    </row>
    <row r="421" spans="1:7">
      <c r="A421" s="1" t="s">
        <v>457</v>
      </c>
      <c r="D421" t="s">
        <v>458</v>
      </c>
      <c r="E421">
        <v>8</v>
      </c>
    </row>
    <row r="422" spans="1:7">
      <c r="A422" s="1" t="s">
        <v>459</v>
      </c>
      <c r="D422" t="s">
        <v>460</v>
      </c>
      <c r="E422">
        <v>8</v>
      </c>
    </row>
    <row r="423" spans="1:7">
      <c r="A423" s="1" t="s">
        <v>461</v>
      </c>
      <c r="D423" t="s">
        <v>462</v>
      </c>
      <c r="E423">
        <v>8</v>
      </c>
    </row>
    <row r="424" spans="1:7">
      <c r="A424" s="1" t="s">
        <v>463</v>
      </c>
      <c r="D424" t="s">
        <v>464</v>
      </c>
      <c r="E424">
        <v>8</v>
      </c>
    </row>
    <row r="425" spans="1:7">
      <c r="A425" s="1" t="s">
        <v>465</v>
      </c>
      <c r="D425" t="s">
        <v>466</v>
      </c>
      <c r="E425">
        <v>8</v>
      </c>
    </row>
    <row r="427" spans="1:7">
      <c r="A427" s="1" t="s">
        <v>467</v>
      </c>
      <c r="D427" t="s">
        <v>468</v>
      </c>
      <c r="E427">
        <v>8</v>
      </c>
    </row>
    <row r="429" spans="1:7">
      <c r="A429" s="1" t="s">
        <v>469</v>
      </c>
      <c r="D429" t="s">
        <v>470</v>
      </c>
      <c r="E429">
        <v>8</v>
      </c>
    </row>
    <row r="430" spans="1:7">
      <c r="A430" s="1" t="s">
        <v>471</v>
      </c>
      <c r="D430" t="s">
        <v>472</v>
      </c>
      <c r="E430">
        <v>8</v>
      </c>
    </row>
    <row r="432" spans="1:7">
      <c r="A432" s="1" t="s">
        <v>473</v>
      </c>
      <c r="F432" s="7" t="s">
        <v>474</v>
      </c>
      <c r="G432" t="s">
        <v>475</v>
      </c>
    </row>
    <row r="438" spans="1:5">
      <c r="A438" s="1" t="s">
        <v>476</v>
      </c>
      <c r="D438" t="s">
        <v>477</v>
      </c>
    </row>
    <row r="439" spans="1:5">
      <c r="A439" s="1" t="s">
        <v>478</v>
      </c>
      <c r="D439" t="s">
        <v>479</v>
      </c>
    </row>
    <row r="440" spans="1:5">
      <c r="A440" s="1" t="s">
        <v>480</v>
      </c>
      <c r="D440" t="s">
        <v>481</v>
      </c>
    </row>
    <row r="441" spans="1:5">
      <c r="A441" s="1" t="s">
        <v>482</v>
      </c>
      <c r="D441" t="s">
        <v>483</v>
      </c>
    </row>
    <row r="443" spans="1:5">
      <c r="A443" s="1" t="s">
        <v>484</v>
      </c>
      <c r="D443" t="s">
        <v>485</v>
      </c>
      <c r="E443">
        <v>16</v>
      </c>
    </row>
    <row r="444" spans="1:5">
      <c r="D444" t="s">
        <v>486</v>
      </c>
    </row>
    <row r="445" spans="1:5">
      <c r="A445" s="1" t="s">
        <v>487</v>
      </c>
      <c r="D445" t="s">
        <v>488</v>
      </c>
      <c r="E445">
        <v>16</v>
      </c>
    </row>
    <row r="447" spans="1:5">
      <c r="A447" s="1" t="s">
        <v>489</v>
      </c>
      <c r="D447" t="s">
        <v>490</v>
      </c>
    </row>
    <row r="448" spans="1:5">
      <c r="A448" s="1" t="s">
        <v>491</v>
      </c>
      <c r="D448" t="s">
        <v>492</v>
      </c>
    </row>
    <row r="449" spans="1:7">
      <c r="A449" s="1" t="s">
        <v>493</v>
      </c>
      <c r="D449" t="s">
        <v>494</v>
      </c>
    </row>
    <row r="451" spans="1:7">
      <c r="A451" s="1" t="s">
        <v>495</v>
      </c>
      <c r="D451" t="s">
        <v>496</v>
      </c>
      <c r="E451">
        <v>16</v>
      </c>
    </row>
    <row r="452" spans="1:7">
      <c r="A452" s="1" t="s">
        <v>497</v>
      </c>
      <c r="D452" t="s">
        <v>498</v>
      </c>
      <c r="E452">
        <v>8</v>
      </c>
    </row>
    <row r="453" spans="1:7">
      <c r="A453" s="1" t="s">
        <v>499</v>
      </c>
      <c r="D453" t="s">
        <v>500</v>
      </c>
      <c r="E453">
        <v>8</v>
      </c>
    </row>
    <row r="454" spans="1:7">
      <c r="A454" s="1" t="s">
        <v>501</v>
      </c>
      <c r="D454" t="s">
        <v>502</v>
      </c>
      <c r="E454">
        <v>8</v>
      </c>
    </row>
    <row r="455" spans="1:7">
      <c r="A455" s="1" t="s">
        <v>503</v>
      </c>
      <c r="D455" t="s">
        <v>504</v>
      </c>
      <c r="E455">
        <v>8</v>
      </c>
    </row>
    <row r="456" spans="1:7">
      <c r="A456" s="1" t="s">
        <v>505</v>
      </c>
      <c r="D456" t="s">
        <v>506</v>
      </c>
      <c r="E456">
        <v>8</v>
      </c>
    </row>
    <row r="457" spans="1:7">
      <c r="A457" s="1" t="s">
        <v>507</v>
      </c>
      <c r="D457" t="s">
        <v>508</v>
      </c>
      <c r="E457">
        <v>8</v>
      </c>
    </row>
    <row r="458" spans="1:7">
      <c r="A458" s="1" t="s">
        <v>509</v>
      </c>
      <c r="D458" t="s">
        <v>510</v>
      </c>
      <c r="E458">
        <v>8</v>
      </c>
      <c r="G458" t="s">
        <v>511</v>
      </c>
    </row>
    <row r="459" spans="1:7">
      <c r="A459" s="1" t="s">
        <v>512</v>
      </c>
      <c r="D459" t="s">
        <v>513</v>
      </c>
      <c r="E459">
        <v>8</v>
      </c>
    </row>
    <row r="460" spans="1:7">
      <c r="A460" s="1" t="s">
        <v>514</v>
      </c>
      <c r="D460" t="s">
        <v>515</v>
      </c>
      <c r="E460">
        <v>8</v>
      </c>
    </row>
    <row r="461" spans="1:7">
      <c r="A461" s="1" t="s">
        <v>516</v>
      </c>
      <c r="D461" t="s">
        <v>517</v>
      </c>
      <c r="E461">
        <v>8</v>
      </c>
    </row>
    <row r="462" spans="1:7">
      <c r="A462" s="1" t="s">
        <v>518</v>
      </c>
      <c r="D462" t="s">
        <v>519</v>
      </c>
      <c r="E462">
        <v>8</v>
      </c>
    </row>
    <row r="465" spans="1:6">
      <c r="A465" s="4"/>
    </row>
    <row r="466" spans="1:6">
      <c r="A466" s="8" t="s">
        <v>520</v>
      </c>
      <c r="B466" s="9" t="s">
        <v>521</v>
      </c>
      <c r="C466" s="9"/>
      <c r="D466" s="10" t="s">
        <v>522</v>
      </c>
      <c r="E466" s="10">
        <v>8</v>
      </c>
      <c r="F466" s="11" t="s">
        <v>523</v>
      </c>
    </row>
    <row r="467" spans="1:6">
      <c r="A467" s="8" t="s">
        <v>524</v>
      </c>
      <c r="B467" s="9" t="s">
        <v>525</v>
      </c>
      <c r="C467" s="9"/>
      <c r="D467" s="10" t="s">
        <v>526</v>
      </c>
      <c r="E467" s="10">
        <v>8</v>
      </c>
      <c r="F467" s="11" t="s">
        <v>527</v>
      </c>
    </row>
    <row r="468" spans="1:6">
      <c r="A468" s="8" t="s">
        <v>528</v>
      </c>
      <c r="B468" s="9" t="s">
        <v>529</v>
      </c>
      <c r="C468" s="9"/>
      <c r="D468" s="10" t="s">
        <v>530</v>
      </c>
      <c r="E468" s="10">
        <v>8</v>
      </c>
      <c r="F468" s="11"/>
    </row>
    <row r="469" spans="1:6">
      <c r="A469" s="8" t="s">
        <v>531</v>
      </c>
      <c r="B469" s="9" t="s">
        <v>532</v>
      </c>
      <c r="C469" s="9"/>
      <c r="D469" s="10" t="s">
        <v>533</v>
      </c>
      <c r="E469" s="10">
        <v>8</v>
      </c>
      <c r="F469" s="11" t="s">
        <v>534</v>
      </c>
    </row>
    <row r="470" spans="1:6">
      <c r="A470" s="8" t="s">
        <v>535</v>
      </c>
      <c r="B470" s="9" t="s">
        <v>536</v>
      </c>
      <c r="C470" s="9"/>
      <c r="D470" s="10" t="s">
        <v>537</v>
      </c>
      <c r="E470" s="10">
        <v>8</v>
      </c>
      <c r="F470" s="11" t="s">
        <v>538</v>
      </c>
    </row>
    <row r="471" spans="1:6">
      <c r="A471" s="8" t="s">
        <v>539</v>
      </c>
      <c r="B471" s="9" t="s">
        <v>540</v>
      </c>
      <c r="C471" s="9"/>
      <c r="D471" s="10" t="s">
        <v>541</v>
      </c>
      <c r="E471" s="10">
        <v>8</v>
      </c>
      <c r="F471" s="11" t="s">
        <v>542</v>
      </c>
    </row>
    <row r="472" spans="1:6">
      <c r="A472" s="8" t="s">
        <v>543</v>
      </c>
      <c r="B472" s="9" t="s">
        <v>544</v>
      </c>
      <c r="C472" s="9"/>
      <c r="D472" s="10" t="s">
        <v>545</v>
      </c>
      <c r="E472" s="10">
        <v>8</v>
      </c>
      <c r="F472" s="11" t="s">
        <v>546</v>
      </c>
    </row>
    <row r="473" spans="1:6">
      <c r="A473" s="8" t="s">
        <v>547</v>
      </c>
      <c r="B473" s="9" t="s">
        <v>548</v>
      </c>
      <c r="C473" s="9"/>
      <c r="D473" s="10" t="s">
        <v>549</v>
      </c>
      <c r="E473" s="10">
        <v>8</v>
      </c>
      <c r="F473" s="11" t="s">
        <v>523</v>
      </c>
    </row>
    <row r="474" spans="1:6">
      <c r="A474" s="8" t="s">
        <v>550</v>
      </c>
      <c r="B474" s="9" t="s">
        <v>551</v>
      </c>
      <c r="C474" s="9"/>
      <c r="D474" s="12" t="s">
        <v>552</v>
      </c>
      <c r="E474" s="10">
        <v>8</v>
      </c>
      <c r="F474" s="11"/>
    </row>
    <row r="475" spans="1:6">
      <c r="A475" s="8" t="s">
        <v>553</v>
      </c>
      <c r="B475" s="9" t="s">
        <v>554</v>
      </c>
      <c r="C475" s="9"/>
      <c r="D475" s="10" t="s">
        <v>555</v>
      </c>
      <c r="E475" s="10">
        <v>8</v>
      </c>
      <c r="F475" s="11"/>
    </row>
    <row r="476" spans="1:6">
      <c r="A476" s="8" t="s">
        <v>556</v>
      </c>
      <c r="B476" s="9" t="s">
        <v>557</v>
      </c>
      <c r="C476" s="9"/>
      <c r="D476" s="10" t="s">
        <v>558</v>
      </c>
      <c r="E476" s="10">
        <v>8</v>
      </c>
      <c r="F476" s="11"/>
    </row>
    <row r="477" spans="1:6">
      <c r="A477" s="8" t="s">
        <v>559</v>
      </c>
      <c r="B477" s="9" t="s">
        <v>560</v>
      </c>
      <c r="C477" s="9"/>
      <c r="D477" s="10" t="s">
        <v>561</v>
      </c>
      <c r="E477" s="10">
        <v>8</v>
      </c>
      <c r="F477" s="11"/>
    </row>
    <row r="478" spans="1:6">
      <c r="A478" s="8" t="s">
        <v>562</v>
      </c>
      <c r="B478" s="9" t="s">
        <v>563</v>
      </c>
      <c r="C478" s="9"/>
      <c r="D478" s="10" t="s">
        <v>564</v>
      </c>
      <c r="E478" s="10">
        <v>8</v>
      </c>
      <c r="F478" s="11"/>
    </row>
    <row r="479" spans="1:6">
      <c r="A479" s="8" t="s">
        <v>565</v>
      </c>
      <c r="B479" s="9" t="s">
        <v>566</v>
      </c>
      <c r="C479" s="9"/>
      <c r="D479" s="10" t="s">
        <v>567</v>
      </c>
      <c r="E479" s="10">
        <v>8</v>
      </c>
      <c r="F479" s="11"/>
    </row>
    <row r="480" spans="1:6">
      <c r="A480" s="8" t="s">
        <v>568</v>
      </c>
      <c r="B480" s="9" t="s">
        <v>569</v>
      </c>
      <c r="C480" s="9"/>
      <c r="D480" s="10" t="s">
        <v>570</v>
      </c>
      <c r="E480" s="10">
        <v>8</v>
      </c>
      <c r="F480" s="11"/>
    </row>
    <row r="481" spans="1:6">
      <c r="A481" s="8" t="s">
        <v>571</v>
      </c>
      <c r="B481" s="9" t="s">
        <v>572</v>
      </c>
      <c r="C481" s="9"/>
      <c r="D481" s="13" t="s">
        <v>573</v>
      </c>
      <c r="E481" s="10">
        <v>8</v>
      </c>
      <c r="F481" s="11"/>
    </row>
    <row r="482" spans="1:6">
      <c r="A482" s="8" t="s">
        <v>574</v>
      </c>
      <c r="B482" s="9" t="s">
        <v>575</v>
      </c>
      <c r="C482" s="9"/>
      <c r="D482" s="13" t="s">
        <v>576</v>
      </c>
      <c r="E482" s="10">
        <v>8</v>
      </c>
      <c r="F482" s="11"/>
    </row>
    <row r="483" spans="1:6">
      <c r="A483" s="8" t="s">
        <v>577</v>
      </c>
      <c r="B483" s="9" t="s">
        <v>578</v>
      </c>
      <c r="C483" s="9"/>
      <c r="D483" s="13" t="s">
        <v>579</v>
      </c>
      <c r="E483" s="10">
        <v>8</v>
      </c>
      <c r="F483" s="11"/>
    </row>
    <row r="484" spans="1:6">
      <c r="A484" s="8" t="s">
        <v>580</v>
      </c>
      <c r="B484" s="9" t="s">
        <v>581</v>
      </c>
      <c r="C484" s="9"/>
      <c r="D484" s="13" t="s">
        <v>582</v>
      </c>
      <c r="E484" s="10">
        <v>8</v>
      </c>
      <c r="F484" s="11"/>
    </row>
    <row r="485" spans="1:6">
      <c r="A485" s="8" t="s">
        <v>583</v>
      </c>
      <c r="B485" s="9" t="s">
        <v>584</v>
      </c>
      <c r="C485" s="9"/>
      <c r="D485" s="13" t="s">
        <v>585</v>
      </c>
      <c r="E485" s="10">
        <v>8</v>
      </c>
      <c r="F485" s="11"/>
    </row>
    <row r="486" spans="1:6">
      <c r="A486" s="8" t="s">
        <v>586</v>
      </c>
      <c r="B486" s="9" t="s">
        <v>587</v>
      </c>
      <c r="C486" s="9"/>
      <c r="D486" s="10" t="s">
        <v>588</v>
      </c>
      <c r="E486" s="10">
        <v>8</v>
      </c>
      <c r="F486" s="11" t="s">
        <v>589</v>
      </c>
    </row>
    <row r="487" spans="1:6">
      <c r="A487" s="8" t="s">
        <v>590</v>
      </c>
      <c r="B487" s="9" t="s">
        <v>591</v>
      </c>
      <c r="C487" s="9"/>
      <c r="D487" s="14" t="s">
        <v>592</v>
      </c>
      <c r="E487" s="10">
        <v>8</v>
      </c>
      <c r="F487" s="11" t="s">
        <v>593</v>
      </c>
    </row>
    <row r="488" spans="1:6">
      <c r="A488" s="8" t="s">
        <v>594</v>
      </c>
      <c r="B488" s="9" t="s">
        <v>595</v>
      </c>
      <c r="C488" s="9"/>
      <c r="D488" s="10" t="s">
        <v>596</v>
      </c>
      <c r="E488" s="10">
        <v>8</v>
      </c>
      <c r="F488" s="11" t="s">
        <v>542</v>
      </c>
    </row>
    <row r="489" spans="1:6">
      <c r="A489" s="8" t="s">
        <v>597</v>
      </c>
      <c r="B489" s="9" t="s">
        <v>598</v>
      </c>
      <c r="C489" s="9"/>
      <c r="D489" s="15" t="s">
        <v>599</v>
      </c>
      <c r="E489" s="10">
        <v>8</v>
      </c>
      <c r="F489" s="11"/>
    </row>
    <row r="490" spans="1:6">
      <c r="A490" s="8" t="s">
        <v>600</v>
      </c>
      <c r="B490" s="9" t="s">
        <v>601</v>
      </c>
      <c r="C490" s="9"/>
      <c r="D490" s="10" t="s">
        <v>602</v>
      </c>
      <c r="E490" s="10">
        <v>8</v>
      </c>
      <c r="F490" s="11" t="s">
        <v>603</v>
      </c>
    </row>
    <row r="491" spans="1:6">
      <c r="A491" s="8" t="s">
        <v>604</v>
      </c>
      <c r="B491" s="9" t="s">
        <v>605</v>
      </c>
      <c r="C491" s="9"/>
      <c r="D491" s="10" t="s">
        <v>606</v>
      </c>
      <c r="E491" s="10">
        <v>8</v>
      </c>
      <c r="F491" s="11" t="s">
        <v>607</v>
      </c>
    </row>
    <row r="492" spans="1:6">
      <c r="A492" s="8" t="s">
        <v>608</v>
      </c>
      <c r="B492" s="9" t="s">
        <v>609</v>
      </c>
      <c r="C492" s="9"/>
      <c r="D492" s="10" t="s">
        <v>610</v>
      </c>
      <c r="E492" s="10">
        <v>8</v>
      </c>
      <c r="F492" s="11" t="s">
        <v>607</v>
      </c>
    </row>
    <row r="493" spans="1:6">
      <c r="A493" s="8" t="s">
        <v>611</v>
      </c>
      <c r="B493" s="9" t="s">
        <v>612</v>
      </c>
      <c r="C493" s="9"/>
      <c r="D493" s="10" t="s">
        <v>613</v>
      </c>
      <c r="E493" s="10"/>
      <c r="F493" s="10"/>
    </row>
    <row r="494" spans="1:6">
      <c r="A494" s="8" t="s">
        <v>614</v>
      </c>
      <c r="B494" s="9" t="s">
        <v>615</v>
      </c>
      <c r="C494" s="9"/>
      <c r="D494" s="14" t="s">
        <v>616</v>
      </c>
      <c r="E494" s="10">
        <v>16</v>
      </c>
      <c r="F494" s="10" t="s">
        <v>617</v>
      </c>
    </row>
    <row r="495" spans="1:6">
      <c r="A495" s="8" t="s">
        <v>618</v>
      </c>
      <c r="B495" s="9" t="s">
        <v>619</v>
      </c>
      <c r="C495" s="9"/>
      <c r="D495" s="10" t="s">
        <v>620</v>
      </c>
      <c r="E495" s="10">
        <v>8</v>
      </c>
      <c r="F495" s="11" t="s">
        <v>621</v>
      </c>
    </row>
    <row r="496" spans="1:6">
      <c r="A496" s="8" t="s">
        <v>622</v>
      </c>
      <c r="B496" s="9" t="s">
        <v>623</v>
      </c>
      <c r="C496" s="9"/>
      <c r="D496" s="10" t="s">
        <v>624</v>
      </c>
      <c r="E496" s="10">
        <v>8</v>
      </c>
      <c r="F496" s="11" t="s">
        <v>621</v>
      </c>
    </row>
    <row r="497" spans="1:7">
      <c r="A497" s="8" t="s">
        <v>625</v>
      </c>
      <c r="B497" s="9" t="s">
        <v>626</v>
      </c>
      <c r="C497" s="9"/>
      <c r="D497" s="10" t="s">
        <v>627</v>
      </c>
      <c r="E497" s="10">
        <v>16</v>
      </c>
      <c r="F497" s="10" t="s">
        <v>628</v>
      </c>
    </row>
    <row r="498" spans="1:7">
      <c r="A498" s="8" t="s">
        <v>629</v>
      </c>
      <c r="B498" s="9" t="s">
        <v>630</v>
      </c>
      <c r="C498" s="9"/>
      <c r="D498" s="10" t="s">
        <v>631</v>
      </c>
      <c r="E498" s="10">
        <v>8</v>
      </c>
      <c r="F498" s="11" t="s">
        <v>632</v>
      </c>
    </row>
    <row r="499" spans="1:7">
      <c r="A499" s="8" t="s">
        <v>633</v>
      </c>
      <c r="B499" s="9" t="s">
        <v>634</v>
      </c>
      <c r="C499" s="9"/>
      <c r="D499" s="10" t="s">
        <v>635</v>
      </c>
      <c r="E499" s="10">
        <v>8</v>
      </c>
      <c r="F499" s="11" t="s">
        <v>636</v>
      </c>
    </row>
    <row r="500" spans="1:7">
      <c r="A500" s="8" t="s">
        <v>637</v>
      </c>
      <c r="B500" s="9" t="s">
        <v>638</v>
      </c>
      <c r="C500" s="9"/>
      <c r="D500" s="10" t="s">
        <v>639</v>
      </c>
      <c r="E500" s="10">
        <v>8</v>
      </c>
      <c r="F500" s="11" t="s">
        <v>636</v>
      </c>
    </row>
    <row r="501" spans="1:7">
      <c r="A501" s="8" t="s">
        <v>640</v>
      </c>
      <c r="B501" s="9" t="s">
        <v>641</v>
      </c>
      <c r="C501" s="9"/>
      <c r="D501" s="10" t="s">
        <v>642</v>
      </c>
      <c r="E501" s="10">
        <v>8</v>
      </c>
      <c r="F501" s="11" t="s">
        <v>643</v>
      </c>
    </row>
    <row r="502" spans="1:7">
      <c r="A502" s="8" t="s">
        <v>644</v>
      </c>
      <c r="B502" s="9" t="s">
        <v>645</v>
      </c>
      <c r="C502" s="9"/>
      <c r="D502" s="10" t="s">
        <v>646</v>
      </c>
      <c r="E502" s="10">
        <v>8</v>
      </c>
      <c r="F502" s="11" t="s">
        <v>647</v>
      </c>
    </row>
    <row r="503" spans="1:7">
      <c r="A503" s="8" t="s">
        <v>648</v>
      </c>
      <c r="B503" s="9" t="s">
        <v>649</v>
      </c>
      <c r="C503" s="9"/>
      <c r="D503" s="10" t="s">
        <v>650</v>
      </c>
      <c r="E503" s="10">
        <v>8</v>
      </c>
      <c r="F503" s="11" t="s">
        <v>651</v>
      </c>
    </row>
    <row r="504" spans="1:7">
      <c r="A504" s="8" t="s">
        <v>652</v>
      </c>
      <c r="B504" s="9" t="s">
        <v>653</v>
      </c>
      <c r="C504" s="9"/>
      <c r="D504" s="10" t="s">
        <v>654</v>
      </c>
      <c r="E504" s="10">
        <v>16</v>
      </c>
      <c r="F504" s="11"/>
    </row>
    <row r="505" spans="1:7">
      <c r="A505" s="8" t="s">
        <v>655</v>
      </c>
      <c r="B505" s="9" t="s">
        <v>656</v>
      </c>
      <c r="C505" s="9"/>
      <c r="D505" s="10" t="s">
        <v>657</v>
      </c>
      <c r="E505" s="10">
        <v>16</v>
      </c>
      <c r="F505" s="11"/>
    </row>
    <row r="506" spans="1:7">
      <c r="A506" s="8" t="s">
        <v>658</v>
      </c>
      <c r="B506" s="9" t="s">
        <v>659</v>
      </c>
      <c r="C506" s="9"/>
      <c r="D506" s="10" t="s">
        <v>660</v>
      </c>
      <c r="E506" s="10">
        <v>16</v>
      </c>
      <c r="F506" s="11"/>
    </row>
    <row r="507" spans="1:7">
      <c r="A507" s="8" t="s">
        <v>661</v>
      </c>
      <c r="B507" s="9" t="s">
        <v>662</v>
      </c>
      <c r="C507" s="9"/>
      <c r="D507" s="10" t="s">
        <v>663</v>
      </c>
      <c r="E507" s="10">
        <v>16</v>
      </c>
      <c r="F507" s="11"/>
    </row>
    <row r="508" spans="1:7">
      <c r="A508" s="8" t="s">
        <v>664</v>
      </c>
      <c r="B508" s="9" t="s">
        <v>665</v>
      </c>
      <c r="C508" s="9"/>
      <c r="D508" s="10" t="s">
        <v>666</v>
      </c>
      <c r="E508" s="10">
        <v>32</v>
      </c>
      <c r="F508" s="11" t="s">
        <v>667</v>
      </c>
      <c r="G508" t="s">
        <v>668</v>
      </c>
    </row>
    <row r="509" spans="1:7">
      <c r="A509" s="8" t="s">
        <v>669</v>
      </c>
      <c r="B509" s="9"/>
      <c r="C509" s="9"/>
      <c r="D509" s="10" t="s">
        <v>670</v>
      </c>
      <c r="E509" s="10">
        <v>16</v>
      </c>
      <c r="F509" s="11" t="s">
        <v>671</v>
      </c>
      <c r="G509" t="s">
        <v>672</v>
      </c>
    </row>
    <row r="510" spans="1:7">
      <c r="A510" s="8" t="s">
        <v>673</v>
      </c>
      <c r="B510" s="9"/>
      <c r="C510" s="9"/>
      <c r="D510" s="10" t="s">
        <v>674</v>
      </c>
      <c r="E510" s="10">
        <v>8</v>
      </c>
      <c r="F510" s="11" t="s">
        <v>675</v>
      </c>
    </row>
    <row r="511" spans="1:7">
      <c r="A511" s="8" t="s">
        <v>676</v>
      </c>
      <c r="B511" s="9"/>
      <c r="C511" s="9"/>
      <c r="D511" s="10" t="s">
        <v>677</v>
      </c>
      <c r="E511" s="10">
        <v>8</v>
      </c>
      <c r="F511" s="11" t="s">
        <v>678</v>
      </c>
      <c r="G511" t="s">
        <v>679</v>
      </c>
    </row>
    <row r="512" spans="1:7">
      <c r="A512" s="8" t="s">
        <v>680</v>
      </c>
      <c r="B512" s="9" t="s">
        <v>681</v>
      </c>
      <c r="C512" s="9"/>
      <c r="D512" s="15" t="s">
        <v>682</v>
      </c>
      <c r="E512" s="10">
        <v>32</v>
      </c>
      <c r="F512" s="11" t="s">
        <v>683</v>
      </c>
    </row>
    <row r="513" spans="1:7">
      <c r="A513" s="8" t="s">
        <v>684</v>
      </c>
      <c r="B513" s="9" t="s">
        <v>685</v>
      </c>
      <c r="C513" s="9"/>
      <c r="D513" s="15" t="s">
        <v>686</v>
      </c>
      <c r="E513" s="10">
        <v>16</v>
      </c>
      <c r="F513" s="11"/>
    </row>
    <row r="514" spans="1:7">
      <c r="A514" s="8" t="s">
        <v>687</v>
      </c>
      <c r="B514" s="9" t="s">
        <v>688</v>
      </c>
      <c r="C514" s="9"/>
      <c r="D514" s="10" t="s">
        <v>689</v>
      </c>
      <c r="E514" s="10">
        <v>16</v>
      </c>
      <c r="F514" s="11"/>
    </row>
    <row r="516" spans="1:7">
      <c r="A516" s="4" t="s">
        <v>690</v>
      </c>
      <c r="B516" s="2" t="s">
        <v>521</v>
      </c>
      <c r="D516" t="s">
        <v>691</v>
      </c>
      <c r="E516">
        <v>8</v>
      </c>
      <c r="F516" s="3" t="s">
        <v>523</v>
      </c>
      <c r="G516" t="s">
        <v>692</v>
      </c>
    </row>
    <row r="517" spans="1:7">
      <c r="A517" s="4" t="s">
        <v>693</v>
      </c>
      <c r="B517" s="2" t="s">
        <v>525</v>
      </c>
      <c r="D517" t="s">
        <v>694</v>
      </c>
      <c r="E517">
        <v>8</v>
      </c>
      <c r="F517" s="3" t="s">
        <v>527</v>
      </c>
    </row>
    <row r="518" spans="1:7">
      <c r="A518" s="4" t="s">
        <v>695</v>
      </c>
      <c r="B518" s="2" t="s">
        <v>529</v>
      </c>
      <c r="D518" t="s">
        <v>696</v>
      </c>
    </row>
    <row r="519" spans="1:7">
      <c r="A519" s="4" t="s">
        <v>697</v>
      </c>
      <c r="B519" s="2" t="s">
        <v>532</v>
      </c>
      <c r="D519" t="s">
        <v>698</v>
      </c>
      <c r="E519">
        <v>9</v>
      </c>
      <c r="F519" s="3" t="s">
        <v>699</v>
      </c>
    </row>
    <row r="520" spans="1:7">
      <c r="A520" s="4" t="s">
        <v>700</v>
      </c>
      <c r="B520" s="2" t="s">
        <v>536</v>
      </c>
      <c r="D520" t="s">
        <v>701</v>
      </c>
      <c r="E520">
        <v>9</v>
      </c>
    </row>
    <row r="521" spans="1:7">
      <c r="A521" s="4" t="s">
        <v>702</v>
      </c>
      <c r="B521" s="2" t="s">
        <v>540</v>
      </c>
      <c r="D521" t="s">
        <v>703</v>
      </c>
      <c r="E521">
        <v>8</v>
      </c>
      <c r="F521" s="3" t="s">
        <v>542</v>
      </c>
    </row>
    <row r="522" spans="1:7">
      <c r="A522" s="4" t="s">
        <v>704</v>
      </c>
      <c r="B522" s="2" t="s">
        <v>544</v>
      </c>
    </row>
    <row r="523" spans="1:7">
      <c r="A523" s="4" t="s">
        <v>705</v>
      </c>
      <c r="B523" s="2" t="s">
        <v>548</v>
      </c>
      <c r="D523" t="s">
        <v>706</v>
      </c>
      <c r="E523">
        <v>8</v>
      </c>
      <c r="F523" s="3" t="s">
        <v>523</v>
      </c>
    </row>
    <row r="524" spans="1:7">
      <c r="A524" s="4" t="s">
        <v>707</v>
      </c>
      <c r="B524" s="2" t="s">
        <v>551</v>
      </c>
    </row>
    <row r="525" spans="1:7">
      <c r="A525" s="4" t="s">
        <v>708</v>
      </c>
      <c r="B525" s="2" t="s">
        <v>554</v>
      </c>
      <c r="D525" t="s">
        <v>709</v>
      </c>
      <c r="E525">
        <v>8</v>
      </c>
    </row>
    <row r="526" spans="1:7">
      <c r="A526" s="4" t="s">
        <v>710</v>
      </c>
      <c r="B526" s="2" t="s">
        <v>557</v>
      </c>
      <c r="D526" t="s">
        <v>711</v>
      </c>
      <c r="E526">
        <v>8</v>
      </c>
    </row>
    <row r="527" spans="1:7">
      <c r="A527" s="4" t="s">
        <v>712</v>
      </c>
      <c r="B527" s="2" t="s">
        <v>560</v>
      </c>
      <c r="D527" t="s">
        <v>713</v>
      </c>
      <c r="E527">
        <v>8</v>
      </c>
    </row>
    <row r="528" spans="1:7">
      <c r="A528" s="4" t="s">
        <v>714</v>
      </c>
      <c r="B528" s="2" t="s">
        <v>563</v>
      </c>
      <c r="D528" t="s">
        <v>715</v>
      </c>
      <c r="E528">
        <v>8</v>
      </c>
    </row>
    <row r="529" spans="1:6">
      <c r="A529" s="4" t="s">
        <v>716</v>
      </c>
      <c r="B529" s="2" t="s">
        <v>566</v>
      </c>
      <c r="D529" t="s">
        <v>717</v>
      </c>
      <c r="E529">
        <v>8</v>
      </c>
    </row>
    <row r="530" spans="1:6">
      <c r="A530" s="4" t="s">
        <v>718</v>
      </c>
      <c r="B530" s="2" t="s">
        <v>569</v>
      </c>
      <c r="D530" t="s">
        <v>719</v>
      </c>
      <c r="E530">
        <v>8</v>
      </c>
    </row>
    <row r="531" spans="1:6">
      <c r="A531" s="4" t="s">
        <v>720</v>
      </c>
      <c r="B531" s="2" t="s">
        <v>572</v>
      </c>
      <c r="D531" s="16" t="s">
        <v>721</v>
      </c>
      <c r="E531">
        <v>8</v>
      </c>
    </row>
    <row r="532" spans="1:6">
      <c r="A532" s="4" t="s">
        <v>722</v>
      </c>
      <c r="B532" s="2" t="s">
        <v>575</v>
      </c>
      <c r="D532" s="16" t="s">
        <v>723</v>
      </c>
      <c r="E532">
        <v>8</v>
      </c>
    </row>
    <row r="533" spans="1:6">
      <c r="A533" s="4" t="s">
        <v>724</v>
      </c>
      <c r="B533" s="2" t="s">
        <v>578</v>
      </c>
      <c r="D533" s="16" t="s">
        <v>725</v>
      </c>
      <c r="E533">
        <v>8</v>
      </c>
    </row>
    <row r="534" spans="1:6">
      <c r="A534" s="4" t="s">
        <v>726</v>
      </c>
      <c r="B534" s="2" t="s">
        <v>581</v>
      </c>
      <c r="D534" s="16" t="s">
        <v>727</v>
      </c>
      <c r="E534">
        <v>8</v>
      </c>
    </row>
    <row r="535" spans="1:6">
      <c r="A535" s="4" t="s">
        <v>728</v>
      </c>
      <c r="B535" s="2" t="s">
        <v>584</v>
      </c>
      <c r="D535" s="16" t="s">
        <v>729</v>
      </c>
      <c r="E535">
        <v>8</v>
      </c>
    </row>
    <row r="536" spans="1:6">
      <c r="A536" s="4" t="s">
        <v>730</v>
      </c>
      <c r="B536" s="2" t="s">
        <v>587</v>
      </c>
      <c r="D536" t="s">
        <v>731</v>
      </c>
      <c r="E536">
        <v>8</v>
      </c>
      <c r="F536" s="3" t="s">
        <v>589</v>
      </c>
    </row>
    <row r="537" spans="1:6">
      <c r="A537" s="4" t="s">
        <v>732</v>
      </c>
      <c r="B537" s="2" t="s">
        <v>591</v>
      </c>
      <c r="D537" t="s">
        <v>733</v>
      </c>
      <c r="E537">
        <v>8</v>
      </c>
    </row>
    <row r="538" spans="1:6">
      <c r="A538" s="4" t="s">
        <v>734</v>
      </c>
      <c r="B538" s="2" t="s">
        <v>595</v>
      </c>
      <c r="D538" t="s">
        <v>735</v>
      </c>
      <c r="E538">
        <v>8</v>
      </c>
      <c r="F538" s="3" t="s">
        <v>542</v>
      </c>
    </row>
    <row r="539" spans="1:6">
      <c r="A539" s="4" t="s">
        <v>736</v>
      </c>
    </row>
    <row r="540" spans="1:6">
      <c r="A540" s="4" t="s">
        <v>737</v>
      </c>
    </row>
    <row r="541" spans="1:6">
      <c r="A541" s="4" t="s">
        <v>738</v>
      </c>
    </row>
    <row r="542" spans="1:6">
      <c r="A542" s="4" t="s">
        <v>739</v>
      </c>
    </row>
    <row r="543" spans="1:6">
      <c r="A543" s="4" t="s">
        <v>740</v>
      </c>
    </row>
    <row r="544" spans="1:6">
      <c r="A544" s="4" t="s">
        <v>741</v>
      </c>
    </row>
    <row r="545" spans="1:5">
      <c r="A545" s="4" t="s">
        <v>742</v>
      </c>
    </row>
    <row r="546" spans="1:5">
      <c r="A546" s="4" t="s">
        <v>743</v>
      </c>
    </row>
    <row r="547" spans="1:5">
      <c r="A547" s="4" t="s">
        <v>744</v>
      </c>
    </row>
    <row r="548" spans="1:5">
      <c r="A548" s="4" t="s">
        <v>745</v>
      </c>
    </row>
    <row r="549" spans="1:5">
      <c r="A549" s="4" t="s">
        <v>746</v>
      </c>
    </row>
    <row r="550" spans="1:5">
      <c r="A550" s="4" t="s">
        <v>747</v>
      </c>
    </row>
    <row r="551" spans="1:5">
      <c r="A551" s="4" t="s">
        <v>748</v>
      </c>
    </row>
    <row r="552" spans="1:5">
      <c r="A552" s="4" t="s">
        <v>749</v>
      </c>
    </row>
    <row r="553" spans="1:5">
      <c r="A553" s="4" t="s">
        <v>750</v>
      </c>
    </row>
    <row r="554" spans="1:5">
      <c r="A554" s="4" t="s">
        <v>751</v>
      </c>
    </row>
    <row r="555" spans="1:5">
      <c r="A555" s="4" t="s">
        <v>752</v>
      </c>
    </row>
    <row r="556" spans="1:5">
      <c r="A556" s="4" t="s">
        <v>753</v>
      </c>
      <c r="D556" t="s">
        <v>754</v>
      </c>
      <c r="E556">
        <v>16</v>
      </c>
    </row>
    <row r="557" spans="1:5">
      <c r="A557" s="4" t="s">
        <v>755</v>
      </c>
      <c r="D557" t="s">
        <v>756</v>
      </c>
      <c r="E557">
        <v>16</v>
      </c>
    </row>
    <row r="558" spans="1:5">
      <c r="A558" s="4" t="s">
        <v>757</v>
      </c>
      <c r="D558" t="s">
        <v>758</v>
      </c>
      <c r="E558">
        <v>16</v>
      </c>
    </row>
    <row r="559" spans="1:5">
      <c r="A559" s="1" t="s">
        <v>759</v>
      </c>
      <c r="D559" t="s">
        <v>760</v>
      </c>
      <c r="E559">
        <v>16</v>
      </c>
    </row>
    <row r="561" spans="1:8">
      <c r="D561" t="s">
        <v>761</v>
      </c>
      <c r="E561">
        <v>16</v>
      </c>
      <c r="F561" s="3" t="s">
        <v>671</v>
      </c>
    </row>
    <row r="562" spans="1:8">
      <c r="D562" t="s">
        <v>761</v>
      </c>
      <c r="E562">
        <v>8</v>
      </c>
      <c r="F562" s="3" t="s">
        <v>675</v>
      </c>
    </row>
    <row r="563" spans="1:8">
      <c r="A563" s="1" t="s">
        <v>762</v>
      </c>
      <c r="D563" t="s">
        <v>763</v>
      </c>
      <c r="E563">
        <v>8</v>
      </c>
      <c r="F563" s="3" t="s">
        <v>678</v>
      </c>
    </row>
    <row r="565" spans="1:8">
      <c r="A565" s="1" t="s">
        <v>764</v>
      </c>
      <c r="D565" t="s">
        <v>765</v>
      </c>
      <c r="E565">
        <v>16</v>
      </c>
      <c r="F565" s="3" t="s">
        <v>766</v>
      </c>
    </row>
    <row r="568" spans="1:8">
      <c r="A568" s="1" t="s">
        <v>767</v>
      </c>
      <c r="D568" t="s">
        <v>768</v>
      </c>
      <c r="E568">
        <v>8</v>
      </c>
      <c r="F568" s="3" t="s">
        <v>769</v>
      </c>
      <c r="G568" t="s">
        <v>770</v>
      </c>
      <c r="H568" t="s">
        <v>771</v>
      </c>
    </row>
    <row r="569" spans="1:8">
      <c r="A569" s="1" t="s">
        <v>772</v>
      </c>
      <c r="D569" t="s">
        <v>773</v>
      </c>
      <c r="E569">
        <v>8</v>
      </c>
      <c r="F569" s="3" t="s">
        <v>769</v>
      </c>
    </row>
    <row r="570" spans="1:8">
      <c r="A570" s="1" t="s">
        <v>774</v>
      </c>
      <c r="D570" t="s">
        <v>775</v>
      </c>
      <c r="E570">
        <v>8</v>
      </c>
    </row>
    <row r="571" spans="1:8">
      <c r="A571" s="1" t="s">
        <v>776</v>
      </c>
      <c r="D571" t="s">
        <v>777</v>
      </c>
      <c r="E571">
        <v>8</v>
      </c>
    </row>
    <row r="573" spans="1:8">
      <c r="A573" s="1" t="s">
        <v>778</v>
      </c>
      <c r="D573" t="s">
        <v>779</v>
      </c>
      <c r="E573">
        <v>16</v>
      </c>
    </row>
    <row r="577" spans="1:7">
      <c r="A577" s="1" t="s">
        <v>780</v>
      </c>
      <c r="D577" t="s">
        <v>781</v>
      </c>
      <c r="E577">
        <v>32</v>
      </c>
      <c r="F577" s="3" t="s">
        <v>782</v>
      </c>
      <c r="G577" t="s">
        <v>783</v>
      </c>
    </row>
    <row r="578" spans="1:7">
      <c r="A578" s="1" t="s">
        <v>784</v>
      </c>
      <c r="D578" t="s">
        <v>785</v>
      </c>
      <c r="F578" s="3" t="s">
        <v>786</v>
      </c>
    </row>
    <row r="580" spans="1:7">
      <c r="A580" s="1" t="s">
        <v>787</v>
      </c>
      <c r="D580" t="s">
        <v>287</v>
      </c>
      <c r="E580">
        <v>32</v>
      </c>
      <c r="F580" s="3" t="s">
        <v>788</v>
      </c>
    </row>
    <row r="582" spans="1:7">
      <c r="A582" s="1" t="s">
        <v>789</v>
      </c>
      <c r="D582" t="s">
        <v>51</v>
      </c>
      <c r="E582">
        <v>32</v>
      </c>
      <c r="F582" s="3" t="s">
        <v>790</v>
      </c>
    </row>
    <row r="584" spans="1:7">
      <c r="A584" s="1" t="s">
        <v>791</v>
      </c>
      <c r="D584" t="s">
        <v>792</v>
      </c>
      <c r="E584">
        <v>32</v>
      </c>
    </row>
    <row r="587" spans="1:7">
      <c r="A587" s="1" t="s">
        <v>793</v>
      </c>
      <c r="D587" t="s">
        <v>794</v>
      </c>
      <c r="E587">
        <v>32</v>
      </c>
    </row>
    <row r="589" spans="1:7">
      <c r="A589" s="1" t="s">
        <v>795</v>
      </c>
      <c r="D589" t="s">
        <v>796</v>
      </c>
      <c r="E589">
        <v>32</v>
      </c>
    </row>
    <row r="591" spans="1:7">
      <c r="A591" s="1" t="s">
        <v>797</v>
      </c>
      <c r="D591" t="s">
        <v>798</v>
      </c>
      <c r="E591">
        <v>32</v>
      </c>
    </row>
    <row r="593" spans="1:5">
      <c r="A593" s="1" t="s">
        <v>799</v>
      </c>
      <c r="D593" t="s">
        <v>800</v>
      </c>
      <c r="E593">
        <v>32</v>
      </c>
    </row>
    <row r="595" spans="1:5">
      <c r="A595" s="1" t="s">
        <v>801</v>
      </c>
      <c r="D595" s="17" t="s">
        <v>802</v>
      </c>
    </row>
    <row r="596" spans="1:5">
      <c r="A596" s="1" t="s">
        <v>803</v>
      </c>
      <c r="D596" t="s">
        <v>804</v>
      </c>
    </row>
    <row r="597" spans="1:5">
      <c r="A597" s="1" t="s">
        <v>805</v>
      </c>
      <c r="D597" t="s">
        <v>806</v>
      </c>
    </row>
    <row r="598" spans="1:5">
      <c r="A598" s="1" t="s">
        <v>807</v>
      </c>
      <c r="D598" t="s">
        <v>808</v>
      </c>
    </row>
    <row r="599" spans="1:5">
      <c r="A599" s="1" t="s">
        <v>809</v>
      </c>
      <c r="D599" t="s">
        <v>810</v>
      </c>
    </row>
    <row r="600" spans="1:5">
      <c r="A600" s="1" t="s">
        <v>811</v>
      </c>
    </row>
    <row r="601" spans="1:5">
      <c r="A601" s="1" t="s">
        <v>812</v>
      </c>
    </row>
    <row r="602" spans="1:5">
      <c r="A602" s="1" t="s">
        <v>813</v>
      </c>
    </row>
    <row r="603" spans="1:5">
      <c r="A603" s="1" t="s">
        <v>814</v>
      </c>
    </row>
    <row r="604" spans="1:5">
      <c r="A604" s="1" t="s">
        <v>815</v>
      </c>
    </row>
    <row r="605" spans="1:5">
      <c r="A605" s="1" t="s">
        <v>816</v>
      </c>
    </row>
    <row r="606" spans="1:5">
      <c r="A606" s="1" t="s">
        <v>817</v>
      </c>
    </row>
    <row r="607" spans="1:5">
      <c r="A607" s="1" t="s">
        <v>818</v>
      </c>
    </row>
    <row r="608" spans="1:5">
      <c r="A608" s="1" t="s">
        <v>819</v>
      </c>
    </row>
    <row r="609" spans="1:6">
      <c r="A609" s="1" t="s">
        <v>820</v>
      </c>
    </row>
    <row r="610" spans="1:6">
      <c r="A610" s="1" t="s">
        <v>821</v>
      </c>
    </row>
    <row r="611" spans="1:6">
      <c r="A611" s="1" t="s">
        <v>822</v>
      </c>
    </row>
    <row r="612" spans="1:6">
      <c r="A612" s="1" t="s">
        <v>823</v>
      </c>
    </row>
    <row r="613" spans="1:6">
      <c r="A613" s="1" t="s">
        <v>824</v>
      </c>
    </row>
    <row r="614" spans="1:6">
      <c r="A614" s="1" t="s">
        <v>825</v>
      </c>
    </row>
    <row r="616" spans="1:6">
      <c r="A616" s="1" t="s">
        <v>8275</v>
      </c>
      <c r="D616" t="s">
        <v>8276</v>
      </c>
      <c r="F616" s="3" t="s">
        <v>8277</v>
      </c>
    </row>
    <row r="620" spans="1:6">
      <c r="A620" s="1" t="s">
        <v>826</v>
      </c>
      <c r="D620" t="s">
        <v>827</v>
      </c>
      <c r="F620" s="3" t="s">
        <v>828</v>
      </c>
    </row>
    <row r="625" spans="1:6">
      <c r="A625" s="1" t="s">
        <v>829</v>
      </c>
      <c r="D625" t="s">
        <v>830</v>
      </c>
      <c r="E625">
        <v>32</v>
      </c>
      <c r="F625" s="3" t="s">
        <v>831</v>
      </c>
    </row>
    <row r="627" spans="1:6">
      <c r="A627" s="1" t="s">
        <v>832</v>
      </c>
      <c r="D627" t="s">
        <v>833</v>
      </c>
      <c r="E627">
        <v>16</v>
      </c>
    </row>
    <row r="628" spans="1:6">
      <c r="A628" s="1" t="s">
        <v>834</v>
      </c>
      <c r="D628" t="s">
        <v>835</v>
      </c>
      <c r="E628">
        <v>8</v>
      </c>
    </row>
    <row r="629" spans="1:6">
      <c r="A629" s="1" t="s">
        <v>836</v>
      </c>
      <c r="D629" t="s">
        <v>837</v>
      </c>
      <c r="E629">
        <v>16</v>
      </c>
    </row>
    <row r="630" spans="1:6">
      <c r="A630" s="1" t="s">
        <v>838</v>
      </c>
      <c r="D630" t="s">
        <v>839</v>
      </c>
      <c r="E630">
        <v>16</v>
      </c>
    </row>
    <row r="634" spans="1:6">
      <c r="A634" s="1" t="s">
        <v>840</v>
      </c>
      <c r="D634" t="s">
        <v>841</v>
      </c>
    </row>
    <row r="636" spans="1:6">
      <c r="A636" s="1" t="s">
        <v>842</v>
      </c>
      <c r="D636" t="s">
        <v>843</v>
      </c>
      <c r="E636">
        <v>32</v>
      </c>
      <c r="F636" s="3" t="s">
        <v>844</v>
      </c>
    </row>
    <row r="637" spans="1:6">
      <c r="A637" s="1" t="s">
        <v>845</v>
      </c>
      <c r="D637" t="s">
        <v>785</v>
      </c>
      <c r="F637" s="3" t="s">
        <v>846</v>
      </c>
    </row>
    <row r="639" spans="1:6">
      <c r="A639" s="1" t="s">
        <v>847</v>
      </c>
      <c r="D639" t="s">
        <v>848</v>
      </c>
      <c r="E639">
        <v>8</v>
      </c>
      <c r="F639" s="3" t="s">
        <v>849</v>
      </c>
    </row>
    <row r="640" spans="1:6">
      <c r="A640" s="1" t="s">
        <v>850</v>
      </c>
      <c r="D640" t="s">
        <v>851</v>
      </c>
      <c r="E640">
        <v>8</v>
      </c>
    </row>
    <row r="641" spans="1:6">
      <c r="A641" s="1" t="s">
        <v>852</v>
      </c>
      <c r="D641" t="s">
        <v>853</v>
      </c>
      <c r="E641">
        <v>8</v>
      </c>
    </row>
    <row r="642" spans="1:6">
      <c r="A642" s="1" t="s">
        <v>854</v>
      </c>
      <c r="D642" t="s">
        <v>855</v>
      </c>
      <c r="E642">
        <v>8</v>
      </c>
      <c r="F642" s="3" t="s">
        <v>856</v>
      </c>
    </row>
    <row r="643" spans="1:6">
      <c r="A643" s="1" t="s">
        <v>857</v>
      </c>
      <c r="D643" t="s">
        <v>858</v>
      </c>
      <c r="E643">
        <v>16</v>
      </c>
    </row>
    <row r="644" spans="1:6">
      <c r="A644" s="1" t="s">
        <v>859</v>
      </c>
      <c r="D644" t="s">
        <v>860</v>
      </c>
      <c r="E644">
        <v>16</v>
      </c>
    </row>
    <row r="646" spans="1:6">
      <c r="A646" s="1" t="s">
        <v>861</v>
      </c>
      <c r="D646" t="s">
        <v>862</v>
      </c>
      <c r="E646">
        <v>16</v>
      </c>
    </row>
    <row r="648" spans="1:6">
      <c r="A648" s="1" t="s">
        <v>863</v>
      </c>
      <c r="D648" t="s">
        <v>864</v>
      </c>
      <c r="E648">
        <v>16</v>
      </c>
    </row>
    <row r="650" spans="1:6">
      <c r="A650" s="1" t="s">
        <v>865</v>
      </c>
      <c r="D650" t="s">
        <v>866</v>
      </c>
      <c r="E650">
        <v>16</v>
      </c>
    </row>
    <row r="653" spans="1:6">
      <c r="A653" s="1" t="s">
        <v>867</v>
      </c>
      <c r="D653" t="s">
        <v>868</v>
      </c>
      <c r="E653">
        <v>32</v>
      </c>
      <c r="F653" s="3" t="s">
        <v>869</v>
      </c>
    </row>
    <row r="654" spans="1:6">
      <c r="A654" s="1" t="s">
        <v>870</v>
      </c>
      <c r="D654" t="s">
        <v>871</v>
      </c>
      <c r="E654">
        <v>8</v>
      </c>
      <c r="F654" s="3" t="s">
        <v>872</v>
      </c>
    </row>
    <row r="657" spans="1:6">
      <c r="A657" s="1" t="s">
        <v>873</v>
      </c>
      <c r="D657" t="s">
        <v>874</v>
      </c>
    </row>
    <row r="658" spans="1:6">
      <c r="D658" s="18" t="s">
        <v>875</v>
      </c>
    </row>
    <row r="659" spans="1:6">
      <c r="D659" s="18" t="s">
        <v>876</v>
      </c>
    </row>
    <row r="660" spans="1:6">
      <c r="D660" s="18" t="s">
        <v>877</v>
      </c>
    </row>
    <row r="661" spans="1:6">
      <c r="A661" s="1" t="s">
        <v>878</v>
      </c>
      <c r="D661" t="s">
        <v>879</v>
      </c>
    </row>
    <row r="663" spans="1:6">
      <c r="A663" s="1" t="s">
        <v>880</v>
      </c>
      <c r="D663" t="s">
        <v>881</v>
      </c>
      <c r="E663">
        <v>32</v>
      </c>
      <c r="F663" s="3" t="s">
        <v>882</v>
      </c>
    </row>
    <row r="664" spans="1:6">
      <c r="A664" s="1" t="s">
        <v>883</v>
      </c>
      <c r="D664" t="s">
        <v>884</v>
      </c>
      <c r="E664">
        <v>32</v>
      </c>
      <c r="F664" s="3" t="s">
        <v>882</v>
      </c>
    </row>
    <row r="665" spans="1:6">
      <c r="A665" s="1" t="s">
        <v>885</v>
      </c>
      <c r="D665" t="s">
        <v>268</v>
      </c>
      <c r="E665">
        <v>32</v>
      </c>
      <c r="F665" s="3" t="s">
        <v>882</v>
      </c>
    </row>
    <row r="666" spans="1:6">
      <c r="A666" s="1" t="s">
        <v>886</v>
      </c>
      <c r="D666" t="s">
        <v>887</v>
      </c>
      <c r="E666">
        <v>32</v>
      </c>
      <c r="F666" s="3" t="s">
        <v>882</v>
      </c>
    </row>
    <row r="668" spans="1:6">
      <c r="A668" s="1" t="s">
        <v>7938</v>
      </c>
      <c r="D668" t="s">
        <v>7939</v>
      </c>
      <c r="F668" s="90" t="s">
        <v>7940</v>
      </c>
    </row>
    <row r="670" spans="1:6">
      <c r="A670" s="1" t="s">
        <v>888</v>
      </c>
      <c r="D670" t="s">
        <v>268</v>
      </c>
      <c r="E670">
        <v>16</v>
      </c>
    </row>
    <row r="672" spans="1:6">
      <c r="A672" s="1" t="s">
        <v>889</v>
      </c>
      <c r="D672" t="s">
        <v>890</v>
      </c>
      <c r="E672">
        <v>8</v>
      </c>
      <c r="F672" s="3" t="s">
        <v>891</v>
      </c>
    </row>
    <row r="673" spans="1:8">
      <c r="A673" s="1" t="s">
        <v>892</v>
      </c>
      <c r="D673" t="s">
        <v>893</v>
      </c>
    </row>
    <row r="674" spans="1:8">
      <c r="A674" s="1" t="s">
        <v>894</v>
      </c>
      <c r="D674" t="s">
        <v>895</v>
      </c>
    </row>
    <row r="675" spans="1:8">
      <c r="A675" s="1" t="s">
        <v>896</v>
      </c>
      <c r="D675" t="s">
        <v>897</v>
      </c>
    </row>
    <row r="676" spans="1:8">
      <c r="A676" s="1" t="s">
        <v>898</v>
      </c>
      <c r="D676" t="s">
        <v>899</v>
      </c>
    </row>
    <row r="677" spans="1:8">
      <c r="A677" s="1" t="s">
        <v>900</v>
      </c>
      <c r="D677" t="s">
        <v>901</v>
      </c>
    </row>
    <row r="678" spans="1:8">
      <c r="A678" s="1" t="s">
        <v>902</v>
      </c>
      <c r="D678" t="s">
        <v>903</v>
      </c>
    </row>
    <row r="679" spans="1:8">
      <c r="A679" s="1" t="s">
        <v>904</v>
      </c>
      <c r="D679" t="s">
        <v>905</v>
      </c>
    </row>
    <row r="680" spans="1:8">
      <c r="A680" s="1" t="s">
        <v>906</v>
      </c>
      <c r="D680" t="s">
        <v>907</v>
      </c>
    </row>
    <row r="681" spans="1:8">
      <c r="A681" s="1" t="s">
        <v>908</v>
      </c>
      <c r="D681" t="s">
        <v>909</v>
      </c>
    </row>
    <row r="682" spans="1:8">
      <c r="A682" s="1" t="s">
        <v>910</v>
      </c>
      <c r="D682" t="s">
        <v>911</v>
      </c>
    </row>
    <row r="688" spans="1:8" ht="15.75" customHeight="1">
      <c r="A688" s="1" t="s">
        <v>912</v>
      </c>
      <c r="D688" t="s">
        <v>8032</v>
      </c>
      <c r="E688">
        <v>16</v>
      </c>
      <c r="F688" s="3" t="s">
        <v>914</v>
      </c>
      <c r="G688" s="98" t="s">
        <v>915</v>
      </c>
      <c r="H688" t="s">
        <v>916</v>
      </c>
    </row>
    <row r="689" spans="1:7">
      <c r="A689" s="1" t="s">
        <v>917</v>
      </c>
      <c r="D689" t="s">
        <v>918</v>
      </c>
      <c r="E689">
        <v>16</v>
      </c>
      <c r="G689" s="98"/>
    </row>
    <row r="690" spans="1:7">
      <c r="A690" s="1" t="s">
        <v>919</v>
      </c>
      <c r="D690" t="s">
        <v>920</v>
      </c>
      <c r="E690">
        <v>16</v>
      </c>
      <c r="F690" s="3" t="s">
        <v>921</v>
      </c>
      <c r="G690" s="98"/>
    </row>
    <row r="691" spans="1:7">
      <c r="A691" s="1" t="s">
        <v>922</v>
      </c>
      <c r="D691" t="s">
        <v>923</v>
      </c>
      <c r="E691">
        <v>16</v>
      </c>
      <c r="F691" s="3" t="s">
        <v>924</v>
      </c>
      <c r="G691" s="98"/>
    </row>
    <row r="692" spans="1:7">
      <c r="A692" s="1" t="s">
        <v>925</v>
      </c>
      <c r="D692" t="s">
        <v>926</v>
      </c>
      <c r="E692">
        <v>16</v>
      </c>
      <c r="F692" s="3" t="s">
        <v>927</v>
      </c>
      <c r="G692" s="98"/>
    </row>
    <row r="693" spans="1:7">
      <c r="A693" s="1" t="s">
        <v>928</v>
      </c>
      <c r="D693" t="s">
        <v>929</v>
      </c>
      <c r="E693">
        <v>16</v>
      </c>
      <c r="F693" s="3" t="s">
        <v>930</v>
      </c>
      <c r="G693" s="98"/>
    </row>
    <row r="694" spans="1:7">
      <c r="A694" s="1" t="s">
        <v>931</v>
      </c>
      <c r="D694" t="s">
        <v>192</v>
      </c>
      <c r="E694">
        <v>16</v>
      </c>
      <c r="G694" s="98"/>
    </row>
    <row r="695" spans="1:7">
      <c r="A695" s="1" t="s">
        <v>932</v>
      </c>
    </row>
    <row r="696" spans="1:7">
      <c r="A696" s="1" t="s">
        <v>933</v>
      </c>
      <c r="D696" t="s">
        <v>934</v>
      </c>
      <c r="E696">
        <v>16</v>
      </c>
    </row>
    <row r="697" spans="1:7">
      <c r="A697" s="1" t="s">
        <v>935</v>
      </c>
      <c r="D697" t="s">
        <v>936</v>
      </c>
      <c r="E697">
        <v>16</v>
      </c>
    </row>
    <row r="699" spans="1:7">
      <c r="A699" s="1" t="s">
        <v>937</v>
      </c>
      <c r="D699" t="s">
        <v>938</v>
      </c>
      <c r="E699">
        <v>16</v>
      </c>
      <c r="F699" s="3" t="s">
        <v>939</v>
      </c>
    </row>
    <row r="700" spans="1:7">
      <c r="A700" s="1" t="s">
        <v>940</v>
      </c>
      <c r="D700" t="s">
        <v>941</v>
      </c>
      <c r="E700">
        <v>16</v>
      </c>
      <c r="F700" s="3" t="s">
        <v>942</v>
      </c>
    </row>
    <row r="702" spans="1:7">
      <c r="A702" s="1" t="s">
        <v>943</v>
      </c>
      <c r="D702" t="s">
        <v>944</v>
      </c>
      <c r="E702">
        <v>16</v>
      </c>
    </row>
    <row r="704" spans="1:7">
      <c r="A704" s="1" t="s">
        <v>945</v>
      </c>
      <c r="D704" t="s">
        <v>946</v>
      </c>
      <c r="E704">
        <v>32</v>
      </c>
      <c r="F704" s="3" t="s">
        <v>947</v>
      </c>
      <c r="G704" t="s">
        <v>948</v>
      </c>
    </row>
    <row r="705" spans="1:6">
      <c r="A705" s="1" t="s">
        <v>949</v>
      </c>
      <c r="D705" t="s">
        <v>950</v>
      </c>
      <c r="E705">
        <v>32</v>
      </c>
    </row>
    <row r="706" spans="1:6">
      <c r="A706" s="1" t="s">
        <v>951</v>
      </c>
      <c r="D706" t="s">
        <v>952</v>
      </c>
      <c r="E706">
        <v>8</v>
      </c>
      <c r="F706" s="3" t="s">
        <v>953</v>
      </c>
    </row>
    <row r="707" spans="1:6">
      <c r="A707" s="1" t="s">
        <v>954</v>
      </c>
      <c r="D707" t="s">
        <v>955</v>
      </c>
      <c r="E707">
        <v>8</v>
      </c>
    </row>
    <row r="709" spans="1:6">
      <c r="A709" s="1" t="s">
        <v>956</v>
      </c>
      <c r="D709" t="s">
        <v>957</v>
      </c>
    </row>
    <row r="712" spans="1:6">
      <c r="A712" s="1" t="s">
        <v>958</v>
      </c>
      <c r="D712" t="s">
        <v>959</v>
      </c>
      <c r="E712">
        <v>8</v>
      </c>
    </row>
    <row r="714" spans="1:6">
      <c r="A714" s="1" t="s">
        <v>960</v>
      </c>
      <c r="D714" t="s">
        <v>961</v>
      </c>
      <c r="F714" s="3" t="s">
        <v>962</v>
      </c>
    </row>
    <row r="716" spans="1:6">
      <c r="A716" s="1" t="s">
        <v>963</v>
      </c>
      <c r="D716" t="s">
        <v>964</v>
      </c>
    </row>
    <row r="718" spans="1:6">
      <c r="A718" s="1" t="s">
        <v>965</v>
      </c>
      <c r="D718" t="s">
        <v>966</v>
      </c>
      <c r="E718">
        <v>8</v>
      </c>
    </row>
    <row r="721" spans="1:7">
      <c r="A721" s="1" t="s">
        <v>967</v>
      </c>
      <c r="D721" t="s">
        <v>268</v>
      </c>
      <c r="E721">
        <v>16</v>
      </c>
    </row>
    <row r="723" spans="1:7">
      <c r="A723" s="1" t="s">
        <v>968</v>
      </c>
      <c r="D723" t="s">
        <v>969</v>
      </c>
      <c r="E723">
        <v>16</v>
      </c>
      <c r="F723" s="3" t="s">
        <v>970</v>
      </c>
    </row>
    <row r="724" spans="1:7">
      <c r="A724" s="1" t="s">
        <v>971</v>
      </c>
      <c r="D724" t="s">
        <v>972</v>
      </c>
      <c r="E724">
        <v>8</v>
      </c>
      <c r="F724" s="3" t="s">
        <v>973</v>
      </c>
    </row>
    <row r="725" spans="1:7">
      <c r="A725" s="1" t="s">
        <v>974</v>
      </c>
      <c r="D725" t="s">
        <v>972</v>
      </c>
      <c r="E725">
        <v>8</v>
      </c>
      <c r="F725" s="3" t="s">
        <v>975</v>
      </c>
    </row>
    <row r="727" spans="1:7">
      <c r="A727" s="1" t="s">
        <v>8111</v>
      </c>
      <c r="D727" t="s">
        <v>8112</v>
      </c>
      <c r="E727" t="s">
        <v>8113</v>
      </c>
    </row>
    <row r="729" spans="1:7">
      <c r="A729" s="1" t="s">
        <v>976</v>
      </c>
      <c r="D729" t="s">
        <v>977</v>
      </c>
      <c r="E729">
        <v>8</v>
      </c>
      <c r="F729" s="3" t="s">
        <v>978</v>
      </c>
      <c r="G729" t="s">
        <v>979</v>
      </c>
    </row>
    <row r="730" spans="1:7">
      <c r="A730" s="1" t="s">
        <v>980</v>
      </c>
      <c r="D730" t="s">
        <v>981</v>
      </c>
      <c r="E730">
        <v>8</v>
      </c>
    </row>
    <row r="731" spans="1:7">
      <c r="A731" s="1" t="s">
        <v>982</v>
      </c>
      <c r="D731" t="s">
        <v>983</v>
      </c>
      <c r="E731">
        <v>8</v>
      </c>
    </row>
    <row r="732" spans="1:7">
      <c r="A732" s="1" t="s">
        <v>984</v>
      </c>
      <c r="D732" t="s">
        <v>985</v>
      </c>
      <c r="E732">
        <v>8</v>
      </c>
    </row>
    <row r="733" spans="1:7">
      <c r="A733" s="1" t="s">
        <v>986</v>
      </c>
      <c r="D733" t="s">
        <v>987</v>
      </c>
      <c r="E733">
        <v>8</v>
      </c>
      <c r="F733" s="3" t="s">
        <v>988</v>
      </c>
    </row>
    <row r="734" spans="1:7">
      <c r="A734" s="1" t="s">
        <v>989</v>
      </c>
      <c r="D734" t="s">
        <v>990</v>
      </c>
      <c r="E734">
        <v>8</v>
      </c>
      <c r="F734" s="3" t="s">
        <v>988</v>
      </c>
    </row>
    <row r="735" spans="1:7">
      <c r="A735" s="1" t="s">
        <v>991</v>
      </c>
      <c r="D735" t="s">
        <v>992</v>
      </c>
      <c r="E735">
        <v>8</v>
      </c>
      <c r="F735" s="3" t="s">
        <v>988</v>
      </c>
    </row>
    <row r="736" spans="1:7">
      <c r="A736" s="1" t="s">
        <v>993</v>
      </c>
      <c r="D736" t="s">
        <v>994</v>
      </c>
      <c r="E736">
        <v>8</v>
      </c>
      <c r="F736" s="3" t="s">
        <v>988</v>
      </c>
    </row>
    <row r="737" spans="1:7">
      <c r="A737" s="1" t="s">
        <v>995</v>
      </c>
      <c r="D737" t="s">
        <v>996</v>
      </c>
      <c r="E737">
        <v>8</v>
      </c>
      <c r="F737" s="3" t="s">
        <v>997</v>
      </c>
    </row>
    <row r="738" spans="1:7">
      <c r="A738" s="1" t="s">
        <v>998</v>
      </c>
      <c r="D738" t="s">
        <v>999</v>
      </c>
      <c r="E738">
        <v>8</v>
      </c>
      <c r="F738" s="3" t="s">
        <v>1000</v>
      </c>
    </row>
    <row r="739" spans="1:7">
      <c r="A739" s="1" t="s">
        <v>1001</v>
      </c>
      <c r="D739" t="s">
        <v>287</v>
      </c>
      <c r="E739">
        <v>8</v>
      </c>
    </row>
    <row r="740" spans="1:7">
      <c r="A740" s="1" t="s">
        <v>1002</v>
      </c>
      <c r="D740" t="s">
        <v>1003</v>
      </c>
      <c r="E740">
        <v>8</v>
      </c>
      <c r="F740" s="3" t="s">
        <v>988</v>
      </c>
    </row>
    <row r="741" spans="1:7">
      <c r="A741" s="1" t="s">
        <v>1004</v>
      </c>
      <c r="D741" t="s">
        <v>1005</v>
      </c>
      <c r="E741">
        <v>8</v>
      </c>
      <c r="F741" s="3" t="s">
        <v>988</v>
      </c>
    </row>
    <row r="742" spans="1:7">
      <c r="A742" s="1" t="s">
        <v>1006</v>
      </c>
      <c r="D742" t="s">
        <v>1007</v>
      </c>
      <c r="E742">
        <v>8</v>
      </c>
      <c r="F742" s="3" t="s">
        <v>1008</v>
      </c>
    </row>
    <row r="743" spans="1:7">
      <c r="A743" s="1" t="s">
        <v>1009</v>
      </c>
      <c r="D743" t="s">
        <v>1010</v>
      </c>
      <c r="E743">
        <v>8</v>
      </c>
    </row>
    <row r="744" spans="1:7">
      <c r="A744" s="1" t="s">
        <v>1011</v>
      </c>
      <c r="D744" t="s">
        <v>1012</v>
      </c>
      <c r="E744">
        <v>8</v>
      </c>
    </row>
    <row r="745" spans="1:7">
      <c r="A745" s="1" t="s">
        <v>1013</v>
      </c>
      <c r="D745" t="s">
        <v>1014</v>
      </c>
      <c r="E745">
        <v>8</v>
      </c>
    </row>
    <row r="746" spans="1:7">
      <c r="A746" s="1" t="s">
        <v>1015</v>
      </c>
      <c r="D746" t="s">
        <v>1016</v>
      </c>
      <c r="E746">
        <v>8</v>
      </c>
    </row>
    <row r="747" spans="1:7">
      <c r="A747" s="1" t="s">
        <v>1017</v>
      </c>
      <c r="D747" t="s">
        <v>1018</v>
      </c>
      <c r="E747">
        <v>8</v>
      </c>
    </row>
    <row r="751" spans="1:7">
      <c r="A751" s="1" t="s">
        <v>1019</v>
      </c>
      <c r="D751" t="s">
        <v>1020</v>
      </c>
      <c r="E751">
        <v>32</v>
      </c>
      <c r="F751" s="3" t="s">
        <v>1021</v>
      </c>
      <c r="G751" s="19" t="e">
        <f>(1+_xlfn.BITAND(HEX2DEC(F751),2^23-1)/2^23)*(2^(INT(_xlfn.BITAND(HEX2DEC(F751),2^31-1)/(2^23))-127))*(-1^(INT(HEX2DEC(F752)/2^31)))</f>
        <v>#NUM!</v>
      </c>
    </row>
    <row r="753" spans="1:6">
      <c r="A753" s="1" t="s">
        <v>1022</v>
      </c>
      <c r="D753" t="s">
        <v>1023</v>
      </c>
    </row>
    <row r="755" spans="1:6">
      <c r="A755" s="1" t="s">
        <v>1024</v>
      </c>
      <c r="D755" t="s">
        <v>1025</v>
      </c>
      <c r="F755" s="3" t="s">
        <v>1026</v>
      </c>
    </row>
    <row r="757" spans="1:6">
      <c r="A757" s="1" t="s">
        <v>7737</v>
      </c>
    </row>
    <row r="762" spans="1:6">
      <c r="A762" s="1" t="s">
        <v>1027</v>
      </c>
      <c r="D762" t="s">
        <v>1028</v>
      </c>
      <c r="F762" s="3" t="s">
        <v>1029</v>
      </c>
    </row>
    <row r="764" spans="1:6">
      <c r="A764" s="1" t="s">
        <v>1030</v>
      </c>
      <c r="D764" t="s">
        <v>1031</v>
      </c>
    </row>
    <row r="766" spans="1:6">
      <c r="A766" s="1" t="s">
        <v>1032</v>
      </c>
      <c r="D766" t="s">
        <v>1033</v>
      </c>
    </row>
    <row r="769" spans="1:7">
      <c r="A769" s="1" t="s">
        <v>1034</v>
      </c>
      <c r="D769" t="s">
        <v>8065</v>
      </c>
      <c r="E769">
        <v>16</v>
      </c>
    </row>
    <row r="770" spans="1:7">
      <c r="A770" s="1" t="s">
        <v>1035</v>
      </c>
      <c r="D770" t="s">
        <v>1036</v>
      </c>
      <c r="E770">
        <v>16</v>
      </c>
    </row>
    <row r="772" spans="1:7">
      <c r="A772" s="1" t="s">
        <v>1037</v>
      </c>
      <c r="D772" t="s">
        <v>1038</v>
      </c>
    </row>
    <row r="774" spans="1:7">
      <c r="A774" s="1" t="s">
        <v>1039</v>
      </c>
      <c r="D774" t="s">
        <v>1040</v>
      </c>
      <c r="E774">
        <v>8</v>
      </c>
      <c r="F774" s="3" t="s">
        <v>1041</v>
      </c>
    </row>
    <row r="776" spans="1:7">
      <c r="A776" s="1" t="s">
        <v>1042</v>
      </c>
      <c r="D776" t="s">
        <v>1043</v>
      </c>
      <c r="E776">
        <v>16</v>
      </c>
      <c r="F776" s="3" t="s">
        <v>1044</v>
      </c>
    </row>
    <row r="778" spans="1:7">
      <c r="A778" s="1" t="s">
        <v>1045</v>
      </c>
      <c r="B778" s="2" t="s">
        <v>521</v>
      </c>
      <c r="D778" t="s">
        <v>1046</v>
      </c>
      <c r="E778">
        <v>16</v>
      </c>
      <c r="F778" s="3" t="s">
        <v>1047</v>
      </c>
      <c r="G778" t="s">
        <v>1048</v>
      </c>
    </row>
    <row r="779" spans="1:7">
      <c r="A779" s="1" t="s">
        <v>1049</v>
      </c>
      <c r="B779" s="2" t="s">
        <v>529</v>
      </c>
      <c r="D779" t="s">
        <v>1050</v>
      </c>
      <c r="E779">
        <v>16</v>
      </c>
    </row>
    <row r="780" spans="1:7">
      <c r="A780" s="1" t="s">
        <v>1051</v>
      </c>
      <c r="B780" s="2" t="s">
        <v>536</v>
      </c>
      <c r="D780" t="s">
        <v>1052</v>
      </c>
      <c r="E780">
        <v>16</v>
      </c>
    </row>
    <row r="781" spans="1:7">
      <c r="A781" s="1" t="s">
        <v>1053</v>
      </c>
      <c r="B781" s="2" t="s">
        <v>544</v>
      </c>
      <c r="D781" t="s">
        <v>1054</v>
      </c>
      <c r="E781">
        <v>16</v>
      </c>
    </row>
    <row r="782" spans="1:7">
      <c r="A782" s="1" t="s">
        <v>1055</v>
      </c>
      <c r="B782" s="2" t="s">
        <v>551</v>
      </c>
      <c r="D782" t="s">
        <v>1056</v>
      </c>
      <c r="E782">
        <v>8</v>
      </c>
      <c r="F782" s="3" t="s">
        <v>1057</v>
      </c>
    </row>
    <row r="783" spans="1:7">
      <c r="A783" s="1" t="s">
        <v>1058</v>
      </c>
      <c r="B783" s="2" t="s">
        <v>554</v>
      </c>
      <c r="D783" t="s">
        <v>1059</v>
      </c>
      <c r="E783">
        <v>8</v>
      </c>
      <c r="F783" s="3" t="s">
        <v>1060</v>
      </c>
    </row>
    <row r="784" spans="1:7">
      <c r="A784" s="1" t="s">
        <v>1061</v>
      </c>
      <c r="B784" s="2" t="s">
        <v>557</v>
      </c>
      <c r="D784" t="s">
        <v>1062</v>
      </c>
      <c r="E784">
        <v>8</v>
      </c>
      <c r="F784" s="3" t="s">
        <v>1060</v>
      </c>
    </row>
    <row r="785" spans="1:7">
      <c r="A785" s="1" t="s">
        <v>1063</v>
      </c>
      <c r="B785" s="2" t="s">
        <v>560</v>
      </c>
      <c r="D785" t="s">
        <v>1064</v>
      </c>
      <c r="E785">
        <v>8</v>
      </c>
      <c r="F785" s="3" t="s">
        <v>1060</v>
      </c>
    </row>
    <row r="786" spans="1:7">
      <c r="A786" s="1" t="s">
        <v>1065</v>
      </c>
      <c r="B786" s="2" t="s">
        <v>563</v>
      </c>
      <c r="D786" t="s">
        <v>1066</v>
      </c>
      <c r="E786">
        <v>8</v>
      </c>
      <c r="F786" s="3" t="s">
        <v>1067</v>
      </c>
      <c r="G786" t="s">
        <v>1068</v>
      </c>
    </row>
    <row r="788" spans="1:7">
      <c r="A788" s="1" t="s">
        <v>1069</v>
      </c>
      <c r="D788" t="s">
        <v>1070</v>
      </c>
      <c r="E788">
        <v>8</v>
      </c>
    </row>
    <row r="789" spans="1:7">
      <c r="A789" s="1" t="s">
        <v>1071</v>
      </c>
      <c r="D789" t="s">
        <v>1072</v>
      </c>
      <c r="E789">
        <v>8</v>
      </c>
    </row>
    <row r="790" spans="1:7">
      <c r="A790" s="1" t="s">
        <v>1073</v>
      </c>
      <c r="D790" t="s">
        <v>1074</v>
      </c>
      <c r="E790">
        <v>8</v>
      </c>
      <c r="F790" s="3" t="s">
        <v>542</v>
      </c>
    </row>
    <row r="791" spans="1:7">
      <c r="A791" s="1" t="s">
        <v>1075</v>
      </c>
      <c r="D791" t="s">
        <v>1076</v>
      </c>
      <c r="E791">
        <v>16</v>
      </c>
    </row>
    <row r="794" spans="1:7">
      <c r="A794" s="1" t="s">
        <v>1077</v>
      </c>
      <c r="D794" t="s">
        <v>1078</v>
      </c>
      <c r="E794">
        <v>16</v>
      </c>
    </row>
    <row r="796" spans="1:7">
      <c r="A796" s="1" t="s">
        <v>1079</v>
      </c>
      <c r="D796" t="s">
        <v>1080</v>
      </c>
      <c r="E796">
        <v>16</v>
      </c>
    </row>
    <row r="798" spans="1:7">
      <c r="A798" s="1" t="s">
        <v>1081</v>
      </c>
      <c r="D798" t="s">
        <v>1082</v>
      </c>
      <c r="E798">
        <v>16</v>
      </c>
    </row>
    <row r="800" spans="1:7">
      <c r="A800" s="1" t="s">
        <v>1083</v>
      </c>
      <c r="D800" t="s">
        <v>1084</v>
      </c>
      <c r="E800">
        <v>16</v>
      </c>
    </row>
    <row r="802" spans="1:6">
      <c r="A802" s="1" t="s">
        <v>1085</v>
      </c>
      <c r="D802" t="s">
        <v>1086</v>
      </c>
      <c r="E802">
        <v>16</v>
      </c>
    </row>
    <row r="804" spans="1:6">
      <c r="A804" s="1" t="s">
        <v>1087</v>
      </c>
      <c r="D804" t="s">
        <v>1088</v>
      </c>
      <c r="E804">
        <v>16</v>
      </c>
    </row>
    <row r="806" spans="1:6">
      <c r="A806" s="1" t="s">
        <v>1089</v>
      </c>
      <c r="D806" t="s">
        <v>1090</v>
      </c>
      <c r="E806">
        <v>16</v>
      </c>
    </row>
    <row r="808" spans="1:6">
      <c r="A808" s="1" t="s">
        <v>1091</v>
      </c>
      <c r="D808" t="s">
        <v>1092</v>
      </c>
      <c r="E808">
        <v>16</v>
      </c>
    </row>
    <row r="816" spans="1:6">
      <c r="A816" s="1" t="s">
        <v>1093</v>
      </c>
      <c r="D816" t="s">
        <v>1094</v>
      </c>
      <c r="E816">
        <v>8</v>
      </c>
      <c r="F816" s="3" t="s">
        <v>1095</v>
      </c>
    </row>
    <row r="818" spans="1:4">
      <c r="A818" s="1" t="s">
        <v>1096</v>
      </c>
      <c r="D818" t="s">
        <v>1097</v>
      </c>
    </row>
    <row r="820" spans="1:4">
      <c r="A820" s="1" t="s">
        <v>1098</v>
      </c>
    </row>
    <row r="823" spans="1:4">
      <c r="A823" s="1" t="s">
        <v>1099</v>
      </c>
    </row>
    <row r="826" spans="1:4">
      <c r="A826" s="1" t="s">
        <v>1100</v>
      </c>
      <c r="D826" t="s">
        <v>1101</v>
      </c>
    </row>
    <row r="827" spans="1:4">
      <c r="A827" s="1" t="s">
        <v>1102</v>
      </c>
    </row>
    <row r="829" spans="1:4">
      <c r="A829" s="1" t="s">
        <v>1103</v>
      </c>
    </row>
    <row r="830" spans="1:4">
      <c r="A830" s="1" t="s">
        <v>1104</v>
      </c>
    </row>
    <row r="831" spans="1:4">
      <c r="A831" s="1" t="s">
        <v>1105</v>
      </c>
    </row>
    <row r="833" spans="1:1">
      <c r="A833" s="1" t="s">
        <v>1106</v>
      </c>
    </row>
    <row r="835" spans="1:1">
      <c r="A835" s="1" t="s">
        <v>1107</v>
      </c>
    </row>
    <row r="836" spans="1:1">
      <c r="A836" s="1" t="s">
        <v>1108</v>
      </c>
    </row>
    <row r="837" spans="1:1">
      <c r="A837" s="1" t="s">
        <v>1109</v>
      </c>
    </row>
    <row r="838" spans="1:1">
      <c r="A838" s="1" t="s">
        <v>1110</v>
      </c>
    </row>
    <row r="840" spans="1:1">
      <c r="A840" s="1" t="s">
        <v>1111</v>
      </c>
    </row>
    <row r="841" spans="1:1">
      <c r="A841" s="1" t="s">
        <v>1112</v>
      </c>
    </row>
    <row r="843" spans="1:1">
      <c r="A843" s="1" t="s">
        <v>1113</v>
      </c>
    </row>
    <row r="845" spans="1:1">
      <c r="A845" s="1" t="s">
        <v>1114</v>
      </c>
    </row>
    <row r="847" spans="1:1">
      <c r="A847" s="1" t="s">
        <v>1115</v>
      </c>
    </row>
    <row r="848" spans="1:1">
      <c r="A848" s="1" t="s">
        <v>1116</v>
      </c>
    </row>
    <row r="850" spans="1:1">
      <c r="A850" s="1" t="s">
        <v>1117</v>
      </c>
    </row>
    <row r="852" spans="1:1">
      <c r="A852" s="1" t="s">
        <v>1118</v>
      </c>
    </row>
    <row r="854" spans="1:1">
      <c r="A854" s="1" t="s">
        <v>1119</v>
      </c>
    </row>
    <row r="856" spans="1:1">
      <c r="A856" s="1" t="s">
        <v>1120</v>
      </c>
    </row>
    <row r="870" spans="1:6">
      <c r="A870" s="1" t="s">
        <v>1121</v>
      </c>
      <c r="D870" t="s">
        <v>1122</v>
      </c>
      <c r="E870">
        <v>16</v>
      </c>
      <c r="F870" s="3" t="s">
        <v>1123</v>
      </c>
    </row>
    <row r="872" spans="1:6">
      <c r="A872" s="1" t="s">
        <v>1124</v>
      </c>
      <c r="D872" t="s">
        <v>1125</v>
      </c>
      <c r="E872">
        <v>32</v>
      </c>
    </row>
    <row r="874" spans="1:6">
      <c r="A874" s="1" t="s">
        <v>1126</v>
      </c>
      <c r="D874" t="s">
        <v>1127</v>
      </c>
    </row>
    <row r="876" spans="1:6">
      <c r="A876" s="1" t="s">
        <v>1128</v>
      </c>
      <c r="D876" t="s">
        <v>1129</v>
      </c>
    </row>
    <row r="878" spans="1:6">
      <c r="A878" s="1" t="s">
        <v>1130</v>
      </c>
      <c r="D878" t="s">
        <v>1129</v>
      </c>
    </row>
    <row r="880" spans="1:6">
      <c r="A880" s="1" t="s">
        <v>1131</v>
      </c>
      <c r="D880" t="s">
        <v>1129</v>
      </c>
    </row>
    <row r="882" spans="1:7">
      <c r="A882" s="1" t="s">
        <v>1132</v>
      </c>
      <c r="D882" t="s">
        <v>1133</v>
      </c>
      <c r="E882">
        <v>32</v>
      </c>
    </row>
    <row r="884" spans="1:7">
      <c r="A884" s="1" t="s">
        <v>1134</v>
      </c>
      <c r="D884" t="s">
        <v>1135</v>
      </c>
      <c r="E884">
        <v>16</v>
      </c>
      <c r="F884" s="3" t="s">
        <v>1136</v>
      </c>
    </row>
    <row r="886" spans="1:7">
      <c r="A886" s="1" t="s">
        <v>1137</v>
      </c>
      <c r="D886" t="s">
        <v>1138</v>
      </c>
      <c r="F886" s="3" t="s">
        <v>1139</v>
      </c>
    </row>
    <row r="888" spans="1:7">
      <c r="A888" s="1" t="s">
        <v>7935</v>
      </c>
      <c r="D888" t="s">
        <v>7936</v>
      </c>
    </row>
    <row r="890" spans="1:7">
      <c r="A890" s="1" t="s">
        <v>1140</v>
      </c>
      <c r="D890" t="s">
        <v>1141</v>
      </c>
      <c r="E890">
        <v>8</v>
      </c>
      <c r="F890" s="5" t="s">
        <v>1142</v>
      </c>
      <c r="G890" t="s">
        <v>1143</v>
      </c>
    </row>
    <row r="891" spans="1:7">
      <c r="A891" s="1" t="s">
        <v>1144</v>
      </c>
      <c r="D891" t="s">
        <v>1145</v>
      </c>
      <c r="E891">
        <v>8</v>
      </c>
      <c r="F891" s="5" t="s">
        <v>1146</v>
      </c>
    </row>
    <row r="892" spans="1:7">
      <c r="A892" s="1" t="s">
        <v>1147</v>
      </c>
      <c r="D892" t="s">
        <v>1148</v>
      </c>
      <c r="E892">
        <v>8</v>
      </c>
      <c r="F892" s="5" t="s">
        <v>1149</v>
      </c>
    </row>
    <row r="893" spans="1:7">
      <c r="A893" s="1" t="s">
        <v>1150</v>
      </c>
      <c r="D893" t="s">
        <v>1151</v>
      </c>
      <c r="E893">
        <v>8</v>
      </c>
      <c r="F893" s="5" t="s">
        <v>1142</v>
      </c>
    </row>
    <row r="894" spans="1:7">
      <c r="D894" t="s">
        <v>1151</v>
      </c>
    </row>
    <row r="896" spans="1:7">
      <c r="A896" s="1" t="s">
        <v>1152</v>
      </c>
      <c r="D896" s="20" t="s">
        <v>1153</v>
      </c>
      <c r="F896" t="s">
        <v>1154</v>
      </c>
    </row>
    <row r="897" spans="4:6">
      <c r="D897" s="20" t="s">
        <v>1155</v>
      </c>
      <c r="F897"/>
    </row>
    <row r="898" spans="4:6">
      <c r="D898" s="20" t="s">
        <v>1156</v>
      </c>
      <c r="F898"/>
    </row>
    <row r="899" spans="4:6">
      <c r="D899" s="20" t="s">
        <v>1157</v>
      </c>
      <c r="F899"/>
    </row>
    <row r="900" spans="4:6">
      <c r="D900" s="20" t="s">
        <v>1158</v>
      </c>
      <c r="F900"/>
    </row>
    <row r="901" spans="4:6">
      <c r="D901" s="20" t="s">
        <v>1159</v>
      </c>
      <c r="F901"/>
    </row>
    <row r="902" spans="4:6">
      <c r="D902" s="20" t="s">
        <v>1160</v>
      </c>
      <c r="F902"/>
    </row>
    <row r="903" spans="4:6">
      <c r="D903" s="20" t="s">
        <v>1161</v>
      </c>
      <c r="F903"/>
    </row>
    <row r="904" spans="4:6">
      <c r="D904" s="20" t="s">
        <v>1162</v>
      </c>
      <c r="F904"/>
    </row>
    <row r="905" spans="4:6">
      <c r="D905" s="20" t="s">
        <v>1163</v>
      </c>
      <c r="F905"/>
    </row>
    <row r="906" spans="4:6">
      <c r="D906" s="20" t="s">
        <v>1164</v>
      </c>
      <c r="F906"/>
    </row>
    <row r="907" spans="4:6">
      <c r="D907" s="20" t="s">
        <v>1165</v>
      </c>
      <c r="F907"/>
    </row>
    <row r="921" spans="1:6">
      <c r="A921" s="1" t="s">
        <v>1166</v>
      </c>
      <c r="B921" s="2" t="s">
        <v>521</v>
      </c>
      <c r="D921" t="s">
        <v>1167</v>
      </c>
      <c r="E921">
        <v>8</v>
      </c>
      <c r="F921" s="3" t="s">
        <v>978</v>
      </c>
    </row>
    <row r="922" spans="1:6">
      <c r="A922" s="1" t="s">
        <v>1168</v>
      </c>
      <c r="B922" s="2" t="s">
        <v>525</v>
      </c>
      <c r="D922" t="s">
        <v>981</v>
      </c>
      <c r="E922">
        <v>8</v>
      </c>
      <c r="F922" s="3" t="s">
        <v>1169</v>
      </c>
    </row>
    <row r="923" spans="1:6">
      <c r="A923" s="1" t="s">
        <v>1170</v>
      </c>
      <c r="B923" s="2" t="s">
        <v>529</v>
      </c>
      <c r="D923" t="s">
        <v>983</v>
      </c>
      <c r="E923">
        <v>8</v>
      </c>
    </row>
    <row r="924" spans="1:6">
      <c r="A924" s="1" t="s">
        <v>1171</v>
      </c>
      <c r="B924" s="2" t="s">
        <v>532</v>
      </c>
      <c r="D924" t="s">
        <v>985</v>
      </c>
      <c r="E924">
        <v>8</v>
      </c>
      <c r="F924" s="3" t="s">
        <v>1172</v>
      </c>
    </row>
    <row r="925" spans="1:6">
      <c r="A925" s="1" t="s">
        <v>1173</v>
      </c>
      <c r="B925" s="2" t="s">
        <v>536</v>
      </c>
      <c r="D925" t="s">
        <v>987</v>
      </c>
      <c r="E925">
        <v>8</v>
      </c>
      <c r="F925" s="3" t="s">
        <v>988</v>
      </c>
    </row>
    <row r="926" spans="1:6">
      <c r="A926" s="1" t="s">
        <v>1174</v>
      </c>
      <c r="B926" s="2" t="s">
        <v>540</v>
      </c>
      <c r="D926" t="s">
        <v>990</v>
      </c>
      <c r="E926">
        <v>8</v>
      </c>
      <c r="F926" s="3" t="s">
        <v>988</v>
      </c>
    </row>
    <row r="927" spans="1:6">
      <c r="A927" s="1" t="s">
        <v>1175</v>
      </c>
      <c r="B927" s="2" t="s">
        <v>544</v>
      </c>
      <c r="D927" t="s">
        <v>992</v>
      </c>
      <c r="E927">
        <v>8</v>
      </c>
      <c r="F927" s="3" t="s">
        <v>988</v>
      </c>
    </row>
    <row r="928" spans="1:6">
      <c r="A928" s="1" t="s">
        <v>1176</v>
      </c>
      <c r="B928" s="2" t="s">
        <v>548</v>
      </c>
      <c r="D928" t="s">
        <v>994</v>
      </c>
      <c r="E928">
        <v>8</v>
      </c>
      <c r="F928" s="3" t="s">
        <v>988</v>
      </c>
    </row>
    <row r="929" spans="1:6">
      <c r="A929" s="1" t="s">
        <v>1177</v>
      </c>
      <c r="B929" s="2" t="s">
        <v>551</v>
      </c>
      <c r="D929" t="s">
        <v>996</v>
      </c>
      <c r="E929">
        <v>8</v>
      </c>
      <c r="F929" s="3" t="s">
        <v>997</v>
      </c>
    </row>
    <row r="930" spans="1:6">
      <c r="A930" s="1" t="s">
        <v>1178</v>
      </c>
      <c r="B930" s="2" t="s">
        <v>554</v>
      </c>
      <c r="D930" t="s">
        <v>999</v>
      </c>
      <c r="E930">
        <v>8</v>
      </c>
      <c r="F930" s="3" t="s">
        <v>1000</v>
      </c>
    </row>
    <row r="931" spans="1:6">
      <c r="A931" s="1" t="s">
        <v>1179</v>
      </c>
      <c r="B931" s="2" t="s">
        <v>557</v>
      </c>
      <c r="D931" t="s">
        <v>287</v>
      </c>
      <c r="E931">
        <v>8</v>
      </c>
    </row>
    <row r="932" spans="1:6">
      <c r="A932" s="1" t="s">
        <v>1180</v>
      </c>
      <c r="B932" s="2" t="s">
        <v>560</v>
      </c>
      <c r="D932" t="s">
        <v>1003</v>
      </c>
      <c r="E932">
        <v>8</v>
      </c>
      <c r="F932" s="3" t="s">
        <v>988</v>
      </c>
    </row>
    <row r="933" spans="1:6">
      <c r="A933" s="1" t="s">
        <v>1181</v>
      </c>
      <c r="B933" s="2" t="s">
        <v>563</v>
      </c>
      <c r="D933" t="s">
        <v>1005</v>
      </c>
      <c r="E933">
        <v>8</v>
      </c>
      <c r="F933" s="3" t="s">
        <v>988</v>
      </c>
    </row>
    <row r="934" spans="1:6">
      <c r="A934" s="1" t="s">
        <v>1182</v>
      </c>
      <c r="B934" s="2" t="s">
        <v>1183</v>
      </c>
      <c r="D934" t="s">
        <v>1007</v>
      </c>
      <c r="E934">
        <v>8</v>
      </c>
      <c r="F934" s="3" t="s">
        <v>1008</v>
      </c>
    </row>
    <row r="935" spans="1:6">
      <c r="A935" s="1" t="s">
        <v>1184</v>
      </c>
      <c r="B935" s="2" t="s">
        <v>569</v>
      </c>
      <c r="D935" t="s">
        <v>1010</v>
      </c>
      <c r="E935">
        <v>8</v>
      </c>
    </row>
    <row r="936" spans="1:6">
      <c r="A936" s="1" t="s">
        <v>1185</v>
      </c>
      <c r="B936" s="2" t="s">
        <v>572</v>
      </c>
      <c r="D936" t="s">
        <v>1012</v>
      </c>
      <c r="E936">
        <v>8</v>
      </c>
    </row>
    <row r="937" spans="1:6">
      <c r="A937" s="1" t="s">
        <v>1186</v>
      </c>
      <c r="B937" s="2" t="s">
        <v>575</v>
      </c>
      <c r="D937" t="s">
        <v>1014</v>
      </c>
      <c r="E937">
        <v>8</v>
      </c>
    </row>
    <row r="938" spans="1:6">
      <c r="A938" s="1" t="s">
        <v>1187</v>
      </c>
      <c r="B938" s="2" t="s">
        <v>578</v>
      </c>
      <c r="D938" t="s">
        <v>1016</v>
      </c>
      <c r="E938">
        <v>8</v>
      </c>
    </row>
    <row r="939" spans="1:6">
      <c r="A939" s="1" t="s">
        <v>1188</v>
      </c>
      <c r="B939" s="2" t="s">
        <v>581</v>
      </c>
      <c r="D939" t="s">
        <v>1018</v>
      </c>
      <c r="E939">
        <v>8</v>
      </c>
    </row>
    <row r="940" spans="1:6">
      <c r="A940" s="1" t="s">
        <v>1189</v>
      </c>
      <c r="B940" s="2" t="s">
        <v>584</v>
      </c>
      <c r="E940">
        <v>8</v>
      </c>
    </row>
    <row r="941" spans="1:6">
      <c r="E941">
        <v>8</v>
      </c>
    </row>
    <row r="942" spans="1:6">
      <c r="A942" s="1" t="s">
        <v>1190</v>
      </c>
      <c r="D942" t="s">
        <v>1191</v>
      </c>
    </row>
    <row r="943" spans="1:6">
      <c r="A943" s="1" t="s">
        <v>8108</v>
      </c>
      <c r="D943" t="s">
        <v>8109</v>
      </c>
      <c r="E943">
        <v>32</v>
      </c>
      <c r="F943" s="3" t="s">
        <v>8110</v>
      </c>
    </row>
    <row r="944" spans="1:6">
      <c r="A944" s="1" t="s">
        <v>1192</v>
      </c>
      <c r="D944" t="s">
        <v>1193</v>
      </c>
      <c r="E944">
        <v>8</v>
      </c>
    </row>
    <row r="945" spans="1:5">
      <c r="D945" t="s">
        <v>1194</v>
      </c>
    </row>
    <row r="947" spans="1:5">
      <c r="A947" s="1" t="s">
        <v>1195</v>
      </c>
      <c r="D947" t="s">
        <v>1196</v>
      </c>
    </row>
    <row r="949" spans="1:5">
      <c r="A949" s="1" t="s">
        <v>1197</v>
      </c>
      <c r="D949" t="s">
        <v>1198</v>
      </c>
      <c r="E949">
        <v>32</v>
      </c>
    </row>
    <row r="950" spans="1:5">
      <c r="A950" s="1" t="s">
        <v>1199</v>
      </c>
      <c r="D950" t="s">
        <v>1200</v>
      </c>
      <c r="E950">
        <v>32</v>
      </c>
    </row>
    <row r="954" spans="1:5">
      <c r="A954" s="1" t="s">
        <v>7928</v>
      </c>
      <c r="D954" t="s">
        <v>7929</v>
      </c>
    </row>
    <row r="955" spans="1:5">
      <c r="A955" s="1" t="s">
        <v>7930</v>
      </c>
      <c r="D955" t="s">
        <v>7931</v>
      </c>
    </row>
    <row r="957" spans="1:5">
      <c r="A957" s="1" t="s">
        <v>7932</v>
      </c>
      <c r="D957" t="s">
        <v>7933</v>
      </c>
    </row>
    <row r="961" spans="1:7">
      <c r="A961" s="1" t="s">
        <v>1201</v>
      </c>
      <c r="D961" t="s">
        <v>1202</v>
      </c>
      <c r="E961">
        <v>32</v>
      </c>
    </row>
    <row r="963" spans="1:7">
      <c r="D963" t="s">
        <v>1203</v>
      </c>
      <c r="G963" t="s">
        <v>8096</v>
      </c>
    </row>
    <row r="964" spans="1:7">
      <c r="A964" s="1" t="s">
        <v>1204</v>
      </c>
      <c r="D964" t="s">
        <v>1205</v>
      </c>
      <c r="G964" t="s">
        <v>8097</v>
      </c>
    </row>
    <row r="965" spans="1:7">
      <c r="A965" s="1" t="s">
        <v>1206</v>
      </c>
      <c r="D965" t="s">
        <v>1207</v>
      </c>
      <c r="G965" t="s">
        <v>8098</v>
      </c>
    </row>
    <row r="966" spans="1:7">
      <c r="A966" s="1" t="s">
        <v>1208</v>
      </c>
      <c r="D966" t="s">
        <v>1209</v>
      </c>
      <c r="G966" t="s">
        <v>8099</v>
      </c>
    </row>
    <row r="967" spans="1:7">
      <c r="A967" s="1" t="s">
        <v>1210</v>
      </c>
      <c r="D967" t="s">
        <v>1211</v>
      </c>
    </row>
    <row r="968" spans="1:7">
      <c r="A968" s="1" t="s">
        <v>1212</v>
      </c>
      <c r="D968" t="s">
        <v>1213</v>
      </c>
      <c r="G968" t="s">
        <v>8100</v>
      </c>
    </row>
    <row r="969" spans="1:7">
      <c r="G969" t="s">
        <v>8101</v>
      </c>
    </row>
    <row r="971" spans="1:7">
      <c r="G971" t="s">
        <v>8102</v>
      </c>
    </row>
    <row r="972" spans="1:7">
      <c r="A972" s="1" t="s">
        <v>1214</v>
      </c>
      <c r="D972" t="s">
        <v>7934</v>
      </c>
      <c r="E972">
        <v>16</v>
      </c>
      <c r="F972" s="3" t="s">
        <v>1215</v>
      </c>
      <c r="G972" t="s">
        <v>8103</v>
      </c>
    </row>
    <row r="974" spans="1:7">
      <c r="A974" s="1" t="s">
        <v>1216</v>
      </c>
      <c r="D974" t="s">
        <v>1217</v>
      </c>
      <c r="E974">
        <v>16</v>
      </c>
      <c r="G974" t="s">
        <v>8104</v>
      </c>
    </row>
    <row r="975" spans="1:7">
      <c r="G975" t="s">
        <v>8105</v>
      </c>
    </row>
    <row r="976" spans="1:7">
      <c r="A976" s="1" t="s">
        <v>7777</v>
      </c>
      <c r="D976" t="s">
        <v>7776</v>
      </c>
    </row>
    <row r="977" spans="1:7">
      <c r="G977" t="s">
        <v>8106</v>
      </c>
    </row>
    <row r="978" spans="1:7">
      <c r="G978" t="s">
        <v>8107</v>
      </c>
    </row>
    <row r="983" spans="1:7">
      <c r="A983" s="1" t="s">
        <v>1218</v>
      </c>
      <c r="D983" t="s">
        <v>1219</v>
      </c>
      <c r="F983" s="3" t="s">
        <v>1220</v>
      </c>
    </row>
    <row r="985" spans="1:7">
      <c r="A985" s="1" t="s">
        <v>1221</v>
      </c>
    </row>
    <row r="994" spans="1:5">
      <c r="A994" s="1" t="s">
        <v>7778</v>
      </c>
      <c r="D994" t="s">
        <v>7779</v>
      </c>
    </row>
    <row r="1001" spans="1:5">
      <c r="A1001" s="1" t="s">
        <v>8047</v>
      </c>
      <c r="D1001" t="s">
        <v>8048</v>
      </c>
    </row>
    <row r="1003" spans="1:5">
      <c r="A1003" s="1" t="s">
        <v>1222</v>
      </c>
      <c r="D1003" t="s">
        <v>1223</v>
      </c>
      <c r="E1003">
        <v>32</v>
      </c>
    </row>
    <row r="1005" spans="1:5">
      <c r="A1005" s="1" t="s">
        <v>1224</v>
      </c>
    </row>
    <row r="1007" spans="1:5">
      <c r="A1007" s="1" t="s">
        <v>1225</v>
      </c>
      <c r="D1007" t="s">
        <v>1226</v>
      </c>
    </row>
    <row r="1009" spans="1:7">
      <c r="A1009" s="1" t="s">
        <v>1227</v>
      </c>
      <c r="D1009" t="s">
        <v>1228</v>
      </c>
      <c r="E1009">
        <v>32</v>
      </c>
    </row>
    <row r="1011" spans="1:7">
      <c r="A1011" s="1" t="s">
        <v>1229</v>
      </c>
      <c r="D1011" t="s">
        <v>1230</v>
      </c>
    </row>
    <row r="1014" spans="1:7">
      <c r="A1014" s="1">
        <v>131914</v>
      </c>
      <c r="D1014" t="s">
        <v>1231</v>
      </c>
      <c r="E1014">
        <v>32</v>
      </c>
      <c r="F1014" s="3" t="s">
        <v>1232</v>
      </c>
    </row>
    <row r="1016" spans="1:7">
      <c r="A1016" s="1" t="s">
        <v>1233</v>
      </c>
      <c r="D1016" t="s">
        <v>1234</v>
      </c>
    </row>
    <row r="1019" spans="1:7">
      <c r="A1019" s="1" t="s">
        <v>1235</v>
      </c>
      <c r="D1019" t="s">
        <v>1236</v>
      </c>
      <c r="E1019">
        <v>32</v>
      </c>
      <c r="F1019" s="3">
        <v>96</v>
      </c>
    </row>
    <row r="1020" spans="1:7">
      <c r="A1020" s="1" t="s">
        <v>1237</v>
      </c>
      <c r="D1020" t="s">
        <v>1238</v>
      </c>
      <c r="E1020">
        <v>32</v>
      </c>
      <c r="F1020" s="3" t="s">
        <v>1239</v>
      </c>
    </row>
    <row r="1022" spans="1:7">
      <c r="A1022" s="1" t="s">
        <v>1240</v>
      </c>
      <c r="D1022" t="s">
        <v>1241</v>
      </c>
      <c r="E1022">
        <v>16</v>
      </c>
      <c r="F1022" s="3" t="s">
        <v>1242</v>
      </c>
    </row>
    <row r="1023" spans="1:7">
      <c r="A1023" s="1" t="s">
        <v>1243</v>
      </c>
      <c r="D1023" t="s">
        <v>1241</v>
      </c>
      <c r="E1023">
        <v>16</v>
      </c>
      <c r="F1023" s="3" t="s">
        <v>1244</v>
      </c>
      <c r="G1023" t="s">
        <v>1245</v>
      </c>
    </row>
    <row r="1025" spans="1:7">
      <c r="A1025" s="1" t="s">
        <v>1246</v>
      </c>
      <c r="D1025" t="s">
        <v>1241</v>
      </c>
      <c r="E1025">
        <v>16</v>
      </c>
      <c r="F1025" s="3" t="s">
        <v>1247</v>
      </c>
    </row>
    <row r="1026" spans="1:7">
      <c r="A1026" s="1" t="s">
        <v>1248</v>
      </c>
      <c r="D1026" t="s">
        <v>1241</v>
      </c>
      <c r="E1026">
        <v>16</v>
      </c>
      <c r="F1026" s="3" t="s">
        <v>1249</v>
      </c>
      <c r="G1026" t="s">
        <v>1245</v>
      </c>
    </row>
    <row r="1028" spans="1:7">
      <c r="A1028" s="1" t="s">
        <v>1250</v>
      </c>
      <c r="D1028" t="s">
        <v>1251</v>
      </c>
      <c r="E1028">
        <v>32</v>
      </c>
      <c r="F1028" s="3" t="s">
        <v>1252</v>
      </c>
    </row>
    <row r="1030" spans="1:7">
      <c r="A1030" s="1" t="s">
        <v>1253</v>
      </c>
      <c r="D1030" t="s">
        <v>1254</v>
      </c>
      <c r="E1030">
        <v>16</v>
      </c>
      <c r="F1030" s="3" t="s">
        <v>1255</v>
      </c>
    </row>
    <row r="1031" spans="1:7">
      <c r="A1031" s="1" t="s">
        <v>1256</v>
      </c>
      <c r="D1031" t="s">
        <v>1254</v>
      </c>
      <c r="E1031">
        <v>16</v>
      </c>
      <c r="F1031" s="3" t="s">
        <v>1257</v>
      </c>
    </row>
    <row r="1033" spans="1:7">
      <c r="A1033" s="1" t="s">
        <v>1258</v>
      </c>
      <c r="D1033" t="s">
        <v>1259</v>
      </c>
      <c r="E1033">
        <v>32</v>
      </c>
      <c r="F1033" s="5" t="s">
        <v>1260</v>
      </c>
      <c r="G1033">
        <v>442</v>
      </c>
    </row>
    <row r="1035" spans="1:7">
      <c r="A1035" s="1" t="s">
        <v>1261</v>
      </c>
      <c r="D1035" t="s">
        <v>1262</v>
      </c>
      <c r="E1035">
        <v>32</v>
      </c>
    </row>
    <row r="1039" spans="1:7">
      <c r="A1039" s="1" t="s">
        <v>1263</v>
      </c>
      <c r="D1039" t="s">
        <v>1264</v>
      </c>
      <c r="E1039">
        <v>8</v>
      </c>
    </row>
    <row r="1041" spans="1:10">
      <c r="A1041" s="1" t="s">
        <v>1265</v>
      </c>
      <c r="D1041" t="s">
        <v>1266</v>
      </c>
      <c r="E1041">
        <v>16</v>
      </c>
      <c r="F1041" s="3" t="s">
        <v>1267</v>
      </c>
    </row>
    <row r="1042" spans="1:10">
      <c r="F1042" s="3" t="s">
        <v>1268</v>
      </c>
    </row>
    <row r="1045" spans="1:10">
      <c r="A1045" s="1" t="s">
        <v>1269</v>
      </c>
      <c r="B1045" s="2" t="s">
        <v>521</v>
      </c>
      <c r="D1045" t="s">
        <v>1270</v>
      </c>
    </row>
    <row r="1047" spans="1:10">
      <c r="A1047" s="1" t="s">
        <v>1271</v>
      </c>
      <c r="B1047" s="2" t="s">
        <v>521</v>
      </c>
      <c r="D1047" t="s">
        <v>1272</v>
      </c>
    </row>
    <row r="1049" spans="1:10">
      <c r="A1049" s="21" t="s">
        <v>1273</v>
      </c>
      <c r="B1049" s="22"/>
      <c r="C1049" s="22"/>
      <c r="D1049" s="23" t="s">
        <v>1274</v>
      </c>
      <c r="E1049" s="23">
        <v>16</v>
      </c>
      <c r="F1049" s="24" t="s">
        <v>1275</v>
      </c>
      <c r="G1049" s="23"/>
      <c r="H1049" t="s">
        <v>1276</v>
      </c>
      <c r="J1049" t="s">
        <v>1277</v>
      </c>
    </row>
    <row r="1050" spans="1:10">
      <c r="A1050" s="21" t="s">
        <v>1278</v>
      </c>
      <c r="B1050" s="22"/>
      <c r="C1050" s="22"/>
      <c r="D1050" s="23" t="s">
        <v>1279</v>
      </c>
      <c r="E1050" s="23">
        <v>16</v>
      </c>
      <c r="F1050" s="24" t="s">
        <v>1280</v>
      </c>
      <c r="G1050" s="23"/>
    </row>
    <row r="1051" spans="1:10">
      <c r="A1051" s="21" t="s">
        <v>1281</v>
      </c>
      <c r="B1051" s="22"/>
      <c r="C1051" s="22"/>
      <c r="D1051" s="23" t="s">
        <v>1282</v>
      </c>
      <c r="E1051" s="23">
        <v>16</v>
      </c>
      <c r="F1051" s="24" t="s">
        <v>1280</v>
      </c>
      <c r="G1051" s="23"/>
    </row>
    <row r="1052" spans="1:10">
      <c r="A1052" s="21" t="s">
        <v>1283</v>
      </c>
      <c r="B1052" s="22"/>
      <c r="C1052" s="22"/>
      <c r="D1052" s="23"/>
      <c r="E1052" s="23">
        <v>16</v>
      </c>
      <c r="F1052" s="24" t="s">
        <v>1280</v>
      </c>
      <c r="G1052" s="23"/>
    </row>
    <row r="1053" spans="1:10">
      <c r="A1053" s="21" t="s">
        <v>1284</v>
      </c>
      <c r="B1053" s="22"/>
      <c r="C1053" s="22"/>
      <c r="D1053" s="23" t="s">
        <v>1285</v>
      </c>
      <c r="E1053" s="23">
        <v>16</v>
      </c>
      <c r="F1053" s="24" t="s">
        <v>1286</v>
      </c>
      <c r="G1053" s="23"/>
    </row>
    <row r="1054" spans="1:10">
      <c r="A1054" s="21" t="s">
        <v>1287</v>
      </c>
      <c r="B1054" s="22"/>
      <c r="C1054" s="22"/>
      <c r="D1054" s="23" t="s">
        <v>1288</v>
      </c>
      <c r="E1054" s="23">
        <v>16</v>
      </c>
      <c r="F1054" s="24" t="s">
        <v>1286</v>
      </c>
      <c r="G1054" s="23"/>
    </row>
    <row r="1055" spans="1:10">
      <c r="A1055" s="21" t="s">
        <v>1289</v>
      </c>
      <c r="B1055" s="22"/>
      <c r="C1055" s="22"/>
      <c r="D1055" s="23" t="s">
        <v>1290</v>
      </c>
      <c r="E1055" s="23">
        <v>16</v>
      </c>
      <c r="F1055" s="24" t="s">
        <v>1291</v>
      </c>
      <c r="G1055" s="23"/>
    </row>
    <row r="1056" spans="1:10">
      <c r="A1056" s="21" t="s">
        <v>1292</v>
      </c>
      <c r="B1056" s="22"/>
      <c r="C1056" s="22"/>
      <c r="D1056" s="23"/>
      <c r="E1056" s="23">
        <v>16</v>
      </c>
      <c r="F1056" s="24" t="s">
        <v>1293</v>
      </c>
      <c r="G1056" s="23"/>
    </row>
    <row r="1057" spans="1:7">
      <c r="A1057" s="21" t="s">
        <v>1294</v>
      </c>
      <c r="B1057" s="22"/>
      <c r="C1057" s="22"/>
      <c r="D1057" s="23"/>
      <c r="E1057" s="23">
        <v>16</v>
      </c>
      <c r="F1057" s="24" t="s">
        <v>1293</v>
      </c>
      <c r="G1057" s="23"/>
    </row>
    <row r="1058" spans="1:7">
      <c r="A1058" s="21" t="s">
        <v>1295</v>
      </c>
      <c r="B1058" s="22"/>
      <c r="C1058" s="22"/>
      <c r="D1058" s="23"/>
      <c r="E1058" s="23">
        <v>16</v>
      </c>
      <c r="F1058" s="24" t="s">
        <v>1296</v>
      </c>
      <c r="G1058" s="23"/>
    </row>
    <row r="1059" spans="1:7">
      <c r="A1059" s="21" t="s">
        <v>1297</v>
      </c>
      <c r="B1059" s="22"/>
      <c r="C1059" s="22"/>
      <c r="D1059" s="23"/>
      <c r="E1059" s="23">
        <v>16</v>
      </c>
      <c r="F1059" s="24" t="s">
        <v>1293</v>
      </c>
      <c r="G1059" s="23"/>
    </row>
    <row r="1060" spans="1:7">
      <c r="A1060" s="21" t="s">
        <v>1298</v>
      </c>
      <c r="B1060" s="22"/>
      <c r="C1060" s="22"/>
      <c r="D1060" s="23" t="s">
        <v>1299</v>
      </c>
      <c r="E1060" s="23">
        <v>16</v>
      </c>
      <c r="F1060" s="24" t="s">
        <v>1300</v>
      </c>
      <c r="G1060" s="23"/>
    </row>
    <row r="1061" spans="1:7">
      <c r="A1061" s="21" t="s">
        <v>1301</v>
      </c>
      <c r="B1061" s="22" t="s">
        <v>1302</v>
      </c>
      <c r="C1061" s="22"/>
      <c r="D1061" s="23" t="s">
        <v>1303</v>
      </c>
      <c r="E1061" s="23">
        <v>16</v>
      </c>
      <c r="F1061" s="24" t="s">
        <v>1280</v>
      </c>
      <c r="G1061" s="23"/>
    </row>
    <row r="1062" spans="1:7">
      <c r="A1062" s="21" t="s">
        <v>1304</v>
      </c>
      <c r="B1062" s="22"/>
      <c r="C1062" s="22"/>
      <c r="D1062" s="23" t="s">
        <v>1305</v>
      </c>
      <c r="E1062" s="23">
        <v>16</v>
      </c>
      <c r="F1062" s="24" t="s">
        <v>1280</v>
      </c>
      <c r="G1062" s="23"/>
    </row>
    <row r="1063" spans="1:7">
      <c r="A1063" s="21" t="s">
        <v>1306</v>
      </c>
      <c r="B1063" s="22"/>
      <c r="C1063" s="22"/>
      <c r="D1063" s="23"/>
      <c r="E1063" s="23">
        <v>16</v>
      </c>
      <c r="F1063" s="24" t="s">
        <v>1307</v>
      </c>
      <c r="G1063" s="23"/>
    </row>
    <row r="1064" spans="1:7">
      <c r="A1064" s="21" t="s">
        <v>1308</v>
      </c>
      <c r="B1064" s="22"/>
      <c r="C1064" s="22"/>
      <c r="D1064" s="23"/>
      <c r="E1064" s="23">
        <v>16</v>
      </c>
      <c r="F1064" s="24" t="s">
        <v>1280</v>
      </c>
      <c r="G1064" s="23"/>
    </row>
    <row r="1065" spans="1:7">
      <c r="A1065" s="21" t="s">
        <v>1309</v>
      </c>
      <c r="B1065" s="22"/>
      <c r="C1065" s="22"/>
      <c r="D1065" s="23" t="s">
        <v>1310</v>
      </c>
      <c r="E1065" s="23">
        <v>16</v>
      </c>
      <c r="F1065" s="24" t="s">
        <v>1311</v>
      </c>
      <c r="G1065" s="23"/>
    </row>
    <row r="1066" spans="1:7">
      <c r="A1066" s="21" t="s">
        <v>1312</v>
      </c>
      <c r="B1066" s="22"/>
      <c r="C1066" s="22"/>
      <c r="D1066" s="23"/>
      <c r="E1066" s="23">
        <v>16</v>
      </c>
      <c r="F1066" s="24">
        <v>0</v>
      </c>
      <c r="G1066" s="23"/>
    </row>
    <row r="1067" spans="1:7">
      <c r="A1067" s="21" t="s">
        <v>1313</v>
      </c>
      <c r="B1067" s="22"/>
      <c r="C1067" s="22"/>
      <c r="D1067" s="23" t="s">
        <v>1314</v>
      </c>
      <c r="E1067" s="23">
        <v>16</v>
      </c>
      <c r="F1067" s="24" t="s">
        <v>1286</v>
      </c>
      <c r="G1067" s="23"/>
    </row>
    <row r="1068" spans="1:7">
      <c r="A1068" s="21" t="s">
        <v>1315</v>
      </c>
      <c r="B1068" s="22"/>
      <c r="C1068" s="22"/>
      <c r="D1068" s="23" t="s">
        <v>1316</v>
      </c>
      <c r="E1068" s="23">
        <v>16</v>
      </c>
      <c r="F1068" s="24" t="s">
        <v>1291</v>
      </c>
      <c r="G1068" s="23"/>
    </row>
    <row r="1069" spans="1:7">
      <c r="A1069" s="21" t="s">
        <v>1317</v>
      </c>
      <c r="B1069" s="22"/>
      <c r="C1069" s="22"/>
      <c r="D1069" s="23" t="s">
        <v>1318</v>
      </c>
      <c r="E1069" s="23">
        <v>16</v>
      </c>
      <c r="F1069" s="24" t="s">
        <v>1319</v>
      </c>
      <c r="G1069" s="23"/>
    </row>
    <row r="1070" spans="1:7">
      <c r="A1070" s="21" t="s">
        <v>1320</v>
      </c>
      <c r="B1070" s="22"/>
      <c r="C1070" s="22"/>
      <c r="D1070" s="23"/>
      <c r="E1070" s="23">
        <v>16</v>
      </c>
      <c r="F1070" s="24" t="s">
        <v>1286</v>
      </c>
      <c r="G1070" s="23"/>
    </row>
    <row r="1071" spans="1:7">
      <c r="A1071" s="21" t="s">
        <v>1321</v>
      </c>
      <c r="B1071" s="22"/>
      <c r="C1071" s="22"/>
      <c r="D1071" s="23" t="s">
        <v>1322</v>
      </c>
      <c r="E1071" s="23">
        <v>16</v>
      </c>
      <c r="F1071" s="24" t="s">
        <v>1291</v>
      </c>
      <c r="G1071" s="23"/>
    </row>
    <row r="1072" spans="1:7">
      <c r="A1072" s="21" t="s">
        <v>1323</v>
      </c>
      <c r="B1072" s="22"/>
      <c r="C1072" s="22"/>
      <c r="D1072" s="23" t="s">
        <v>1324</v>
      </c>
      <c r="E1072" s="23">
        <v>16</v>
      </c>
      <c r="F1072" s="24" t="s">
        <v>1319</v>
      </c>
      <c r="G1072" s="23"/>
    </row>
    <row r="1073" spans="1:7">
      <c r="A1073" s="21" t="s">
        <v>1325</v>
      </c>
      <c r="B1073" s="22"/>
      <c r="C1073" s="22"/>
      <c r="D1073" s="23" t="s">
        <v>1326</v>
      </c>
      <c r="E1073" s="23">
        <v>16</v>
      </c>
      <c r="F1073" s="24" t="s">
        <v>1293</v>
      </c>
      <c r="G1073" s="23"/>
    </row>
    <row r="1074" spans="1:7">
      <c r="A1074" s="21" t="s">
        <v>1327</v>
      </c>
      <c r="B1074" s="22"/>
      <c r="C1074" s="22"/>
      <c r="D1074" s="23"/>
      <c r="E1074" s="23">
        <v>16</v>
      </c>
      <c r="F1074" s="24" t="s">
        <v>1291</v>
      </c>
      <c r="G1074" s="23"/>
    </row>
    <row r="1075" spans="1:7">
      <c r="A1075" s="21" t="s">
        <v>1328</v>
      </c>
      <c r="B1075" s="22"/>
      <c r="C1075" s="22"/>
      <c r="D1075" s="23"/>
      <c r="E1075" s="23">
        <v>16</v>
      </c>
      <c r="F1075" s="24" t="s">
        <v>1286</v>
      </c>
      <c r="G1075" s="23"/>
    </row>
    <row r="1076" spans="1:7">
      <c r="A1076" s="21" t="s">
        <v>1329</v>
      </c>
      <c r="B1076" s="22"/>
      <c r="C1076" s="22"/>
      <c r="D1076" s="23"/>
      <c r="E1076" s="23">
        <v>16</v>
      </c>
      <c r="F1076" s="24" t="s">
        <v>1291</v>
      </c>
      <c r="G1076" s="23"/>
    </row>
    <row r="1077" spans="1:7">
      <c r="A1077" s="21" t="s">
        <v>1330</v>
      </c>
      <c r="B1077" s="22"/>
      <c r="C1077" s="22"/>
      <c r="D1077" s="23"/>
      <c r="E1077" s="23">
        <v>16</v>
      </c>
      <c r="F1077" s="24" t="s">
        <v>1293</v>
      </c>
      <c r="G1077" s="23"/>
    </row>
    <row r="1078" spans="1:7">
      <c r="A1078" s="21" t="s">
        <v>1331</v>
      </c>
      <c r="B1078" s="22"/>
      <c r="C1078" s="22"/>
      <c r="D1078" s="23" t="s">
        <v>1332</v>
      </c>
      <c r="E1078" s="23">
        <v>16</v>
      </c>
      <c r="F1078" s="24" t="s">
        <v>1293</v>
      </c>
      <c r="G1078" s="23"/>
    </row>
    <row r="1079" spans="1:7">
      <c r="A1079" s="21" t="s">
        <v>1333</v>
      </c>
      <c r="B1079" s="22"/>
      <c r="C1079" s="22"/>
      <c r="D1079" s="23" t="s">
        <v>1334</v>
      </c>
      <c r="E1079" s="23">
        <v>16</v>
      </c>
      <c r="F1079" s="24" t="s">
        <v>1286</v>
      </c>
      <c r="G1079" s="23"/>
    </row>
    <row r="1080" spans="1:7">
      <c r="A1080" s="21" t="s">
        <v>1335</v>
      </c>
      <c r="B1080" s="22"/>
      <c r="C1080" s="22"/>
      <c r="D1080" s="23" t="s">
        <v>1336</v>
      </c>
      <c r="E1080" s="23">
        <v>16</v>
      </c>
      <c r="F1080" s="24" t="s">
        <v>1337</v>
      </c>
      <c r="G1080" s="23"/>
    </row>
    <row r="1081" spans="1:7">
      <c r="A1081" s="21" t="s">
        <v>1338</v>
      </c>
      <c r="B1081" s="22"/>
      <c r="C1081" s="22"/>
      <c r="D1081" s="23"/>
      <c r="E1081" s="23">
        <v>16</v>
      </c>
      <c r="F1081" s="24" t="s">
        <v>1337</v>
      </c>
      <c r="G1081" s="23"/>
    </row>
    <row r="1082" spans="1:7">
      <c r="A1082" s="21" t="s">
        <v>1339</v>
      </c>
      <c r="B1082" s="22"/>
      <c r="C1082" s="22"/>
      <c r="D1082" s="23"/>
      <c r="E1082" s="23">
        <v>16</v>
      </c>
      <c r="F1082" s="24" t="s">
        <v>1286</v>
      </c>
      <c r="G1082" s="23"/>
    </row>
    <row r="1083" spans="1:7">
      <c r="A1083" s="21" t="s">
        <v>1340</v>
      </c>
      <c r="B1083" s="22"/>
      <c r="C1083" s="22"/>
      <c r="D1083" s="23" t="s">
        <v>1310</v>
      </c>
      <c r="E1083" s="23">
        <v>16</v>
      </c>
      <c r="F1083" s="24" t="s">
        <v>1341</v>
      </c>
      <c r="G1083" s="23"/>
    </row>
    <row r="1084" spans="1:7">
      <c r="A1084" s="21" t="s">
        <v>1342</v>
      </c>
      <c r="B1084" s="22"/>
      <c r="C1084" s="22"/>
      <c r="D1084" s="23" t="s">
        <v>1343</v>
      </c>
      <c r="E1084" s="23">
        <v>16</v>
      </c>
      <c r="F1084" s="24"/>
      <c r="G1084" s="23"/>
    </row>
    <row r="1085" spans="1:7">
      <c r="A1085" s="1" t="s">
        <v>1344</v>
      </c>
      <c r="E1085">
        <v>32</v>
      </c>
      <c r="F1085" s="3" t="s">
        <v>1345</v>
      </c>
    </row>
    <row r="1086" spans="1:7">
      <c r="A1086" s="1" t="s">
        <v>1346</v>
      </c>
      <c r="D1086" t="s">
        <v>1347</v>
      </c>
      <c r="E1086">
        <v>32</v>
      </c>
      <c r="F1086" s="3" t="s">
        <v>1348</v>
      </c>
    </row>
    <row r="1087" spans="1:7">
      <c r="A1087" s="1" t="s">
        <v>1349</v>
      </c>
      <c r="D1087" t="s">
        <v>1350</v>
      </c>
      <c r="E1087">
        <v>32</v>
      </c>
      <c r="F1087" s="3" t="s">
        <v>1348</v>
      </c>
    </row>
    <row r="1088" spans="1:7">
      <c r="A1088" s="1" t="s">
        <v>1351</v>
      </c>
      <c r="E1088">
        <v>32</v>
      </c>
      <c r="F1088" s="3" t="s">
        <v>1345</v>
      </c>
    </row>
    <row r="1090" spans="1:7">
      <c r="A1090" s="1" t="s">
        <v>1352</v>
      </c>
      <c r="D1090" t="s">
        <v>1353</v>
      </c>
      <c r="E1090">
        <v>8</v>
      </c>
      <c r="F1090" s="3" t="s">
        <v>1354</v>
      </c>
    </row>
    <row r="1091" spans="1:7">
      <c r="A1091" s="1" t="s">
        <v>1355</v>
      </c>
      <c r="D1091" t="s">
        <v>7937</v>
      </c>
      <c r="E1091">
        <v>8</v>
      </c>
      <c r="F1091" s="3" t="s">
        <v>1356</v>
      </c>
    </row>
    <row r="1093" spans="1:7">
      <c r="A1093" s="1" t="s">
        <v>1357</v>
      </c>
      <c r="D1093" t="s">
        <v>1358</v>
      </c>
      <c r="E1093">
        <v>16</v>
      </c>
    </row>
    <row r="1096" spans="1:7">
      <c r="A1096" s="1" t="s">
        <v>1359</v>
      </c>
      <c r="D1096" t="s">
        <v>1360</v>
      </c>
      <c r="E1096">
        <v>32</v>
      </c>
      <c r="F1096" s="3" t="s">
        <v>1361</v>
      </c>
      <c r="G1096" t="s">
        <v>1362</v>
      </c>
    </row>
    <row r="1097" spans="1:7">
      <c r="A1097" s="1" t="s">
        <v>1363</v>
      </c>
      <c r="D1097" t="s">
        <v>1360</v>
      </c>
      <c r="E1097">
        <v>32</v>
      </c>
      <c r="F1097" s="3" t="s">
        <v>382</v>
      </c>
    </row>
    <row r="1098" spans="1:7">
      <c r="A1098" s="1" t="s">
        <v>1364</v>
      </c>
      <c r="D1098" t="s">
        <v>1360</v>
      </c>
      <c r="E1098">
        <v>32</v>
      </c>
      <c r="F1098" s="3" t="s">
        <v>1365</v>
      </c>
    </row>
    <row r="1100" spans="1:7">
      <c r="A1100" s="1" t="s">
        <v>1366</v>
      </c>
      <c r="D1100" t="s">
        <v>1367</v>
      </c>
      <c r="E1100">
        <v>16</v>
      </c>
      <c r="F1100" s="3" t="s">
        <v>1368</v>
      </c>
    </row>
    <row r="1101" spans="1:7">
      <c r="A1101" s="1" t="s">
        <v>1369</v>
      </c>
    </row>
    <row r="1102" spans="1:7">
      <c r="A1102" s="1" t="s">
        <v>1370</v>
      </c>
      <c r="D1102" t="s">
        <v>1371</v>
      </c>
      <c r="E1102">
        <v>16</v>
      </c>
      <c r="F1102" s="3" t="s">
        <v>930</v>
      </c>
    </row>
    <row r="1104" spans="1:7">
      <c r="A1104" s="1" t="s">
        <v>1372</v>
      </c>
      <c r="D1104" t="s">
        <v>1373</v>
      </c>
      <c r="E1104">
        <v>32</v>
      </c>
    </row>
    <row r="1106" spans="1:6">
      <c r="A1106" s="1" t="s">
        <v>1374</v>
      </c>
      <c r="D1106" t="s">
        <v>1375</v>
      </c>
      <c r="E1106">
        <v>16</v>
      </c>
    </row>
    <row r="1108" spans="1:6">
      <c r="A1108" s="1" t="s">
        <v>1376</v>
      </c>
      <c r="D1108" t="s">
        <v>1377</v>
      </c>
      <c r="E1108">
        <v>32</v>
      </c>
      <c r="F1108" s="3" t="s">
        <v>1378</v>
      </c>
    </row>
    <row r="1109" spans="1:6">
      <c r="A1109" s="1" t="s">
        <v>1379</v>
      </c>
      <c r="D1109" t="s">
        <v>1380</v>
      </c>
      <c r="E1109">
        <v>32</v>
      </c>
      <c r="F1109" s="3" t="s">
        <v>1378</v>
      </c>
    </row>
    <row r="1110" spans="1:6">
      <c r="A1110" s="1" t="s">
        <v>1381</v>
      </c>
      <c r="D1110" t="s">
        <v>1382</v>
      </c>
      <c r="E1110">
        <v>32</v>
      </c>
      <c r="F1110" s="3" t="s">
        <v>1319</v>
      </c>
    </row>
    <row r="1111" spans="1:6">
      <c r="A1111" s="1" t="s">
        <v>1383</v>
      </c>
      <c r="D1111" t="s">
        <v>1384</v>
      </c>
      <c r="E1111">
        <v>32</v>
      </c>
      <c r="F1111" s="3" t="s">
        <v>1385</v>
      </c>
    </row>
    <row r="1112" spans="1:6">
      <c r="A1112" s="1" t="s">
        <v>1386</v>
      </c>
      <c r="D1112" t="s">
        <v>1387</v>
      </c>
      <c r="E1112">
        <v>32</v>
      </c>
      <c r="F1112" s="3" t="s">
        <v>1388</v>
      </c>
    </row>
    <row r="1113" spans="1:6">
      <c r="A1113" s="1" t="s">
        <v>1389</v>
      </c>
      <c r="D1113" t="s">
        <v>1390</v>
      </c>
      <c r="E1113">
        <v>32</v>
      </c>
    </row>
    <row r="1115" spans="1:6">
      <c r="A1115" s="1">
        <v>152608</v>
      </c>
      <c r="D1115" t="s">
        <v>1391</v>
      </c>
      <c r="E1115">
        <v>32</v>
      </c>
    </row>
    <row r="1117" spans="1:6">
      <c r="A1117" s="1" t="s">
        <v>1392</v>
      </c>
      <c r="D1117" t="s">
        <v>1393</v>
      </c>
      <c r="E1117">
        <v>32</v>
      </c>
    </row>
    <row r="1119" spans="1:6">
      <c r="A1119" s="1">
        <v>152630</v>
      </c>
      <c r="D1119" t="s">
        <v>1394</v>
      </c>
      <c r="E1119">
        <v>32</v>
      </c>
    </row>
    <row r="1121" spans="1:6">
      <c r="A1121" s="1">
        <v>152644</v>
      </c>
      <c r="D1121" t="s">
        <v>1395</v>
      </c>
      <c r="E1121">
        <v>32</v>
      </c>
      <c r="F1121" s="3" t="s">
        <v>1319</v>
      </c>
    </row>
    <row r="1122" spans="1:6">
      <c r="A1122" s="1">
        <v>152648</v>
      </c>
      <c r="D1122" t="s">
        <v>1396</v>
      </c>
      <c r="E1122">
        <v>32</v>
      </c>
      <c r="F1122" s="3" t="s">
        <v>1280</v>
      </c>
    </row>
    <row r="1123" spans="1:6">
      <c r="A1123" s="1" t="s">
        <v>1397</v>
      </c>
      <c r="D1123" t="s">
        <v>1398</v>
      </c>
      <c r="E1123">
        <v>32</v>
      </c>
      <c r="F1123" s="3" t="s">
        <v>1399</v>
      </c>
    </row>
    <row r="1124" spans="1:6">
      <c r="A1124" s="1">
        <v>152650</v>
      </c>
      <c r="D1124" t="s">
        <v>1400</v>
      </c>
      <c r="E1124">
        <v>32</v>
      </c>
      <c r="F1124" s="3" t="s">
        <v>1401</v>
      </c>
    </row>
    <row r="1125" spans="1:6">
      <c r="A1125" s="1">
        <v>152654</v>
      </c>
      <c r="D1125" t="s">
        <v>1402</v>
      </c>
      <c r="E1125">
        <v>32</v>
      </c>
      <c r="F1125" s="3" t="s">
        <v>1403</v>
      </c>
    </row>
    <row r="1127" spans="1:6">
      <c r="A1127" s="1" t="s">
        <v>1404</v>
      </c>
      <c r="E1127">
        <v>16</v>
      </c>
      <c r="F1127" s="5" t="s">
        <v>124</v>
      </c>
    </row>
    <row r="1128" spans="1:6">
      <c r="E1128">
        <v>16</v>
      </c>
      <c r="F1128" s="5" t="s">
        <v>124</v>
      </c>
    </row>
    <row r="1129" spans="1:6">
      <c r="E1129">
        <v>16</v>
      </c>
      <c r="F1129" s="5" t="s">
        <v>124</v>
      </c>
    </row>
    <row r="1130" spans="1:6">
      <c r="E1130">
        <v>16</v>
      </c>
      <c r="F1130" s="5" t="s">
        <v>124</v>
      </c>
    </row>
    <row r="1131" spans="1:6">
      <c r="E1131">
        <v>16</v>
      </c>
      <c r="F1131" s="5" t="s">
        <v>1405</v>
      </c>
    </row>
    <row r="1132" spans="1:6">
      <c r="E1132">
        <v>16</v>
      </c>
      <c r="F1132" s="5" t="s">
        <v>124</v>
      </c>
    </row>
    <row r="1133" spans="1:6">
      <c r="E1133">
        <v>16</v>
      </c>
      <c r="F1133" s="5" t="s">
        <v>124</v>
      </c>
    </row>
    <row r="1134" spans="1:6">
      <c r="E1134">
        <v>16</v>
      </c>
      <c r="F1134" s="5" t="s">
        <v>1406</v>
      </c>
    </row>
    <row r="1135" spans="1:6">
      <c r="E1135">
        <v>16</v>
      </c>
      <c r="F1135" s="5" t="s">
        <v>1311</v>
      </c>
    </row>
    <row r="1136" spans="1:6">
      <c r="E1136">
        <v>16</v>
      </c>
      <c r="F1136" s="5" t="s">
        <v>1399</v>
      </c>
    </row>
    <row r="1137" spans="1:6">
      <c r="E1137">
        <v>16</v>
      </c>
      <c r="F1137" s="5" t="s">
        <v>1407</v>
      </c>
    </row>
    <row r="1138" spans="1:6">
      <c r="E1138">
        <v>16</v>
      </c>
      <c r="F1138" s="5" t="s">
        <v>1388</v>
      </c>
    </row>
    <row r="1139" spans="1:6">
      <c r="E1139">
        <v>16</v>
      </c>
      <c r="F1139" s="5" t="s">
        <v>124</v>
      </c>
    </row>
    <row r="1140" spans="1:6">
      <c r="E1140">
        <v>16</v>
      </c>
      <c r="F1140" s="5" t="s">
        <v>124</v>
      </c>
    </row>
    <row r="1141" spans="1:6">
      <c r="E1141">
        <v>16</v>
      </c>
      <c r="F1141" s="5" t="s">
        <v>1408</v>
      </c>
    </row>
    <row r="1142" spans="1:6">
      <c r="E1142">
        <v>16</v>
      </c>
      <c r="F1142" s="5" t="s">
        <v>1409</v>
      </c>
    </row>
    <row r="1143" spans="1:6">
      <c r="E1143">
        <v>16</v>
      </c>
      <c r="F1143" s="5" t="s">
        <v>1378</v>
      </c>
    </row>
    <row r="1144" spans="1:6">
      <c r="E1144">
        <v>16</v>
      </c>
      <c r="F1144" s="5" t="s">
        <v>1410</v>
      </c>
    </row>
    <row r="1145" spans="1:6">
      <c r="E1145">
        <v>16</v>
      </c>
      <c r="F1145" s="5" t="s">
        <v>124</v>
      </c>
    </row>
    <row r="1146" spans="1:6">
      <c r="E1146">
        <v>16</v>
      </c>
      <c r="F1146" s="5" t="s">
        <v>1280</v>
      </c>
    </row>
    <row r="1148" spans="1:6">
      <c r="A1148" s="1" t="s">
        <v>1411</v>
      </c>
      <c r="D1148" t="s">
        <v>1412</v>
      </c>
      <c r="E1148">
        <v>16</v>
      </c>
      <c r="F1148" s="3" t="s">
        <v>1413</v>
      </c>
    </row>
    <row r="1149" spans="1:6">
      <c r="A1149" s="1" t="s">
        <v>1414</v>
      </c>
      <c r="D1149" t="s">
        <v>1415</v>
      </c>
      <c r="E1149">
        <v>16</v>
      </c>
      <c r="F1149" s="3" t="s">
        <v>1311</v>
      </c>
    </row>
    <row r="1150" spans="1:6">
      <c r="A1150" s="1">
        <v>152750</v>
      </c>
      <c r="D1150" t="s">
        <v>1416</v>
      </c>
      <c r="E1150">
        <v>16</v>
      </c>
      <c r="F1150" s="3" t="s">
        <v>1417</v>
      </c>
    </row>
    <row r="1151" spans="1:6">
      <c r="A1151" s="1">
        <v>152752</v>
      </c>
      <c r="D1151" t="s">
        <v>1418</v>
      </c>
      <c r="E1151">
        <v>16</v>
      </c>
      <c r="F1151" s="3" t="s">
        <v>1293</v>
      </c>
    </row>
    <row r="1152" spans="1:6">
      <c r="A1152" s="1">
        <v>152754</v>
      </c>
      <c r="D1152" t="s">
        <v>1419</v>
      </c>
      <c r="E1152">
        <v>16</v>
      </c>
      <c r="F1152" s="3" t="s">
        <v>1420</v>
      </c>
    </row>
    <row r="1154" spans="1:7">
      <c r="A1154" s="1" t="s">
        <v>1421</v>
      </c>
      <c r="D1154" t="s">
        <v>1422</v>
      </c>
      <c r="E1154">
        <v>32</v>
      </c>
      <c r="F1154" s="3" t="s">
        <v>1423</v>
      </c>
    </row>
    <row r="1155" spans="1:7">
      <c r="A1155" s="1" t="s">
        <v>1424</v>
      </c>
      <c r="D1155" t="s">
        <v>1425</v>
      </c>
      <c r="E1155">
        <v>32</v>
      </c>
      <c r="F1155" s="3" t="s">
        <v>1426</v>
      </c>
    </row>
    <row r="1156" spans="1:7">
      <c r="A1156" s="1" t="s">
        <v>1427</v>
      </c>
      <c r="D1156" t="s">
        <v>1428</v>
      </c>
      <c r="E1156">
        <v>32</v>
      </c>
      <c r="F1156" s="3" t="s">
        <v>1429</v>
      </c>
    </row>
    <row r="1157" spans="1:7">
      <c r="A1157" s="1" t="s">
        <v>1430</v>
      </c>
      <c r="D1157" t="s">
        <v>1431</v>
      </c>
      <c r="E1157">
        <v>32</v>
      </c>
      <c r="F1157" s="3" t="s">
        <v>1432</v>
      </c>
    </row>
    <row r="1158" spans="1:7">
      <c r="A1158" s="1" t="s">
        <v>1433</v>
      </c>
      <c r="D1158" t="s">
        <v>1434</v>
      </c>
      <c r="E1158">
        <v>32</v>
      </c>
      <c r="F1158" s="3" t="s">
        <v>1435</v>
      </c>
    </row>
    <row r="1160" spans="1:7">
      <c r="A1160" s="1" t="s">
        <v>1436</v>
      </c>
      <c r="D1160" t="s">
        <v>1437</v>
      </c>
      <c r="E1160">
        <v>16</v>
      </c>
      <c r="F1160" s="3" t="s">
        <v>1388</v>
      </c>
      <c r="G1160" t="s">
        <v>1438</v>
      </c>
    </row>
    <row r="1161" spans="1:7">
      <c r="A1161" s="1" t="s">
        <v>1439</v>
      </c>
      <c r="D1161" t="s">
        <v>1440</v>
      </c>
      <c r="E1161">
        <v>16</v>
      </c>
      <c r="F1161" s="3" t="s">
        <v>1388</v>
      </c>
    </row>
    <row r="1162" spans="1:7">
      <c r="A1162" s="1" t="s">
        <v>1441</v>
      </c>
      <c r="D1162" t="s">
        <v>1442</v>
      </c>
      <c r="E1162">
        <v>16</v>
      </c>
      <c r="F1162" s="3" t="s">
        <v>1388</v>
      </c>
    </row>
    <row r="1163" spans="1:7">
      <c r="A1163" s="1" t="s">
        <v>1443</v>
      </c>
      <c r="D1163" t="s">
        <v>1444</v>
      </c>
      <c r="E1163">
        <v>16</v>
      </c>
      <c r="F1163" s="3" t="s">
        <v>1388</v>
      </c>
    </row>
    <row r="1164" spans="1:7">
      <c r="A1164" s="1" t="s">
        <v>1445</v>
      </c>
      <c r="D1164" t="s">
        <v>1446</v>
      </c>
      <c r="E1164">
        <v>16</v>
      </c>
      <c r="F1164" s="3" t="s">
        <v>1311</v>
      </c>
    </row>
    <row r="1165" spans="1:7">
      <c r="A1165" s="1" t="s">
        <v>1447</v>
      </c>
      <c r="E1165">
        <v>16</v>
      </c>
      <c r="F1165" s="3">
        <v>0</v>
      </c>
    </row>
    <row r="1166" spans="1:7">
      <c r="A1166" s="1" t="s">
        <v>1448</v>
      </c>
      <c r="D1166" t="s">
        <v>1437</v>
      </c>
      <c r="E1166">
        <v>16</v>
      </c>
      <c r="F1166" s="3" t="s">
        <v>388</v>
      </c>
    </row>
    <row r="1167" spans="1:7">
      <c r="A1167" s="1" t="s">
        <v>1449</v>
      </c>
      <c r="D1167" t="s">
        <v>1440</v>
      </c>
      <c r="E1167">
        <v>16</v>
      </c>
      <c r="F1167" s="3" t="s">
        <v>1341</v>
      </c>
    </row>
    <row r="1168" spans="1:7">
      <c r="A1168" s="1" t="s">
        <v>1450</v>
      </c>
      <c r="D1168" t="s">
        <v>1442</v>
      </c>
      <c r="E1168">
        <v>16</v>
      </c>
      <c r="F1168" s="3" t="s">
        <v>1293</v>
      </c>
    </row>
    <row r="1169" spans="1:6">
      <c r="A1169" s="1" t="s">
        <v>1451</v>
      </c>
      <c r="D1169" t="s">
        <v>1444</v>
      </c>
      <c r="E1169">
        <v>16</v>
      </c>
      <c r="F1169" s="3" t="s">
        <v>1311</v>
      </c>
    </row>
    <row r="1170" spans="1:6">
      <c r="A1170" s="1" t="s">
        <v>1452</v>
      </c>
      <c r="D1170" t="s">
        <v>1446</v>
      </c>
      <c r="E1170">
        <v>16</v>
      </c>
      <c r="F1170" s="3" t="s">
        <v>1341</v>
      </c>
    </row>
    <row r="1171" spans="1:6">
      <c r="A1171" s="1" t="s">
        <v>1453</v>
      </c>
      <c r="E1171">
        <v>16</v>
      </c>
      <c r="F1171" s="3">
        <v>0</v>
      </c>
    </row>
    <row r="1172" spans="1:6">
      <c r="A1172" s="1" t="s">
        <v>1454</v>
      </c>
      <c r="D1172" t="s">
        <v>287</v>
      </c>
      <c r="E1172">
        <v>16</v>
      </c>
      <c r="F1172" s="3" t="s">
        <v>1455</v>
      </c>
    </row>
    <row r="1173" spans="1:6">
      <c r="A1173" s="1" t="s">
        <v>1456</v>
      </c>
      <c r="D1173" t="s">
        <v>287</v>
      </c>
      <c r="E1173">
        <v>16</v>
      </c>
      <c r="F1173" s="3" t="s">
        <v>1457</v>
      </c>
    </row>
    <row r="1174" spans="1:6">
      <c r="A1174" s="1" t="s">
        <v>1458</v>
      </c>
      <c r="D1174" t="s">
        <v>287</v>
      </c>
      <c r="E1174">
        <v>16</v>
      </c>
      <c r="F1174" s="3" t="s">
        <v>1280</v>
      </c>
    </row>
    <row r="1175" spans="1:6">
      <c r="A1175" s="1" t="s">
        <v>1459</v>
      </c>
      <c r="E1175">
        <v>16</v>
      </c>
      <c r="F1175" s="3">
        <v>0</v>
      </c>
    </row>
    <row r="1176" spans="1:6">
      <c r="A1176" s="1" t="s">
        <v>1460</v>
      </c>
      <c r="D1176" t="s">
        <v>1461</v>
      </c>
      <c r="E1176">
        <v>16</v>
      </c>
      <c r="F1176" s="3" t="s">
        <v>1417</v>
      </c>
    </row>
    <row r="1177" spans="1:6">
      <c r="A1177" s="1" t="s">
        <v>1462</v>
      </c>
      <c r="D1177" t="s">
        <v>1461</v>
      </c>
      <c r="E1177">
        <v>16</v>
      </c>
      <c r="F1177" s="3" t="s">
        <v>1275</v>
      </c>
    </row>
    <row r="1178" spans="1:6">
      <c r="A1178" s="1" t="s">
        <v>1463</v>
      </c>
      <c r="D1178" t="s">
        <v>1461</v>
      </c>
      <c r="E1178">
        <v>16</v>
      </c>
      <c r="F1178" s="3">
        <v>0</v>
      </c>
    </row>
    <row r="1180" spans="1:6">
      <c r="A1180" s="1">
        <v>152870</v>
      </c>
      <c r="D1180" t="s">
        <v>1464</v>
      </c>
      <c r="E1180">
        <v>16</v>
      </c>
      <c r="F1180" s="3">
        <v>23</v>
      </c>
    </row>
    <row r="1182" spans="1:6">
      <c r="A1182" s="1">
        <v>152874</v>
      </c>
      <c r="D1182" t="s">
        <v>1465</v>
      </c>
      <c r="E1182">
        <v>16</v>
      </c>
      <c r="F1182" s="3" t="s">
        <v>1466</v>
      </c>
    </row>
    <row r="1183" spans="1:6">
      <c r="A1183" s="1">
        <v>152876</v>
      </c>
      <c r="D1183" t="s">
        <v>1465</v>
      </c>
      <c r="E1183">
        <v>16</v>
      </c>
      <c r="F1183" s="3" t="s">
        <v>1467</v>
      </c>
    </row>
    <row r="1184" spans="1:6">
      <c r="A1184" s="1">
        <v>152878</v>
      </c>
      <c r="D1184" t="s">
        <v>1465</v>
      </c>
      <c r="E1184">
        <v>16</v>
      </c>
      <c r="F1184" s="3">
        <v>0</v>
      </c>
    </row>
    <row r="1186" spans="1:7">
      <c r="A1186" s="1" t="s">
        <v>1468</v>
      </c>
      <c r="D1186" t="s">
        <v>1469</v>
      </c>
      <c r="E1186">
        <v>16</v>
      </c>
      <c r="F1186" s="3">
        <v>0</v>
      </c>
    </row>
    <row r="1187" spans="1:7">
      <c r="A1187" s="1" t="s">
        <v>1470</v>
      </c>
      <c r="D1187" t="s">
        <v>1471</v>
      </c>
      <c r="E1187">
        <v>16</v>
      </c>
      <c r="F1187" s="3">
        <v>0</v>
      </c>
    </row>
    <row r="1188" spans="1:7">
      <c r="A1188" s="1" t="s">
        <v>1472</v>
      </c>
      <c r="D1188" t="s">
        <v>1473</v>
      </c>
      <c r="E1188">
        <v>16</v>
      </c>
      <c r="F1188" s="3">
        <v>0</v>
      </c>
    </row>
    <row r="1189" spans="1:7">
      <c r="A1189" s="1" t="s">
        <v>1474</v>
      </c>
      <c r="D1189" t="s">
        <v>1475</v>
      </c>
      <c r="E1189">
        <v>16</v>
      </c>
      <c r="F1189" s="3" t="s">
        <v>1417</v>
      </c>
    </row>
    <row r="1190" spans="1:7">
      <c r="A1190" s="1" t="s">
        <v>1476</v>
      </c>
      <c r="D1190" t="s">
        <v>1477</v>
      </c>
      <c r="E1190">
        <v>16</v>
      </c>
      <c r="F1190" s="3">
        <v>0</v>
      </c>
    </row>
    <row r="1192" spans="1:7">
      <c r="A1192" s="1">
        <v>152914</v>
      </c>
      <c r="D1192" t="s">
        <v>1478</v>
      </c>
      <c r="E1192">
        <v>32</v>
      </c>
      <c r="F1192" s="3">
        <v>0</v>
      </c>
      <c r="G1192" t="s">
        <v>1479</v>
      </c>
    </row>
    <row r="1193" spans="1:7">
      <c r="A1193" s="1">
        <v>152918</v>
      </c>
      <c r="D1193" t="s">
        <v>1480</v>
      </c>
      <c r="E1193">
        <v>32</v>
      </c>
      <c r="F1193" s="3" t="s">
        <v>1481</v>
      </c>
      <c r="G1193" s="19">
        <f>(1+_xlfn.BITAND(HEX2DEC(F1193),2^23-1)/2^23)*(2^(INT(_xlfn.BITAND(HEX2DEC(F1193),2^31-1)/(2^23))-127))*(-1^(INT(HEX2DEC(F1193)/2^31)))</f>
        <v>0.30000001192092896</v>
      </c>
    </row>
    <row r="1194" spans="1:7">
      <c r="A1194" s="1" t="s">
        <v>1482</v>
      </c>
      <c r="D1194" t="s">
        <v>1483</v>
      </c>
      <c r="E1194">
        <v>32</v>
      </c>
      <c r="F1194" s="3" t="s">
        <v>1481</v>
      </c>
      <c r="G1194" s="19">
        <f>(1+_xlfn.BITAND(HEX2DEC(F1194),2^23-1)/2^23)*(2^(INT(_xlfn.BITAND(HEX2DEC(F1194),2^31-1)/(2^23))-127))*(-1^(INT(HEX2DEC(F1194)/2^31)))</f>
        <v>0.30000001192092896</v>
      </c>
    </row>
    <row r="1195" spans="1:7">
      <c r="A1195" s="1">
        <v>152920</v>
      </c>
      <c r="D1195" t="s">
        <v>1484</v>
      </c>
      <c r="E1195">
        <v>32</v>
      </c>
      <c r="F1195" s="3" t="s">
        <v>1485</v>
      </c>
      <c r="G1195" s="19">
        <f>(1+_xlfn.BITAND(HEX2DEC(F1195),2^23-1)/2^23)*(2^(INT(_xlfn.BITAND(HEX2DEC(F1195),2^31-1)/(2^23))-127))*(-1^(INT(HEX2DEC(F1195)/2^31)))</f>
        <v>1</v>
      </c>
    </row>
    <row r="1198" spans="1:7">
      <c r="A1198" s="1" t="s">
        <v>1486</v>
      </c>
      <c r="D1198" t="s">
        <v>1487</v>
      </c>
      <c r="E1198">
        <v>16</v>
      </c>
      <c r="F1198" s="3" t="s">
        <v>1488</v>
      </c>
    </row>
    <row r="1199" spans="1:7">
      <c r="A1199" s="1" t="s">
        <v>1489</v>
      </c>
      <c r="D1199" t="s">
        <v>1490</v>
      </c>
      <c r="E1199">
        <v>16</v>
      </c>
      <c r="F1199" s="3">
        <v>33</v>
      </c>
    </row>
    <row r="1200" spans="1:7">
      <c r="A1200" s="1" t="s">
        <v>1491</v>
      </c>
      <c r="D1200" t="s">
        <v>287</v>
      </c>
      <c r="E1200">
        <v>16</v>
      </c>
      <c r="F1200" s="3">
        <v>1</v>
      </c>
    </row>
    <row r="1201" spans="1:7">
      <c r="A1201" s="1" t="s">
        <v>1492</v>
      </c>
      <c r="D1201" t="s">
        <v>1487</v>
      </c>
      <c r="E1201">
        <v>16</v>
      </c>
      <c r="F1201" s="3" t="s">
        <v>1493</v>
      </c>
    </row>
    <row r="1202" spans="1:7">
      <c r="A1202" s="1" t="s">
        <v>1494</v>
      </c>
      <c r="D1202" t="s">
        <v>1495</v>
      </c>
      <c r="E1202">
        <v>16</v>
      </c>
      <c r="F1202" s="3">
        <v>31</v>
      </c>
    </row>
    <row r="1203" spans="1:7">
      <c r="A1203" s="1" t="s">
        <v>1496</v>
      </c>
      <c r="D1203" t="s">
        <v>287</v>
      </c>
      <c r="E1203">
        <v>16</v>
      </c>
      <c r="F1203" s="3">
        <v>1</v>
      </c>
    </row>
    <row r="1204" spans="1:7">
      <c r="A1204" s="1" t="s">
        <v>1497</v>
      </c>
      <c r="D1204" t="s">
        <v>1487</v>
      </c>
      <c r="E1204">
        <v>16</v>
      </c>
      <c r="F1204" s="3" t="s">
        <v>1403</v>
      </c>
    </row>
    <row r="1205" spans="1:7">
      <c r="A1205" s="1" t="s">
        <v>1498</v>
      </c>
      <c r="D1205" t="s">
        <v>1499</v>
      </c>
      <c r="E1205">
        <v>16</v>
      </c>
      <c r="F1205" s="3">
        <v>37</v>
      </c>
    </row>
    <row r="1206" spans="1:7">
      <c r="A1206" s="1" t="s">
        <v>1500</v>
      </c>
      <c r="D1206" t="s">
        <v>287</v>
      </c>
      <c r="E1206">
        <v>16</v>
      </c>
      <c r="F1206" s="3">
        <v>1</v>
      </c>
    </row>
    <row r="1208" spans="1:7">
      <c r="A1208" s="1" t="s">
        <v>1501</v>
      </c>
      <c r="D1208" t="s">
        <v>1502</v>
      </c>
      <c r="E1208">
        <v>16</v>
      </c>
      <c r="F1208" s="3" t="s">
        <v>1280</v>
      </c>
      <c r="G1208" t="s">
        <v>1503</v>
      </c>
    </row>
    <row r="1209" spans="1:7">
      <c r="A1209" s="1" t="s">
        <v>1504</v>
      </c>
      <c r="D1209" t="s">
        <v>1505</v>
      </c>
      <c r="E1209">
        <v>16</v>
      </c>
      <c r="F1209" s="3" t="s">
        <v>1420</v>
      </c>
      <c r="G1209" t="s">
        <v>1503</v>
      </c>
    </row>
    <row r="1210" spans="1:7">
      <c r="A1210" s="1" t="s">
        <v>1506</v>
      </c>
      <c r="D1210" t="s">
        <v>1505</v>
      </c>
      <c r="E1210">
        <v>16</v>
      </c>
      <c r="F1210" s="3" t="s">
        <v>1341</v>
      </c>
      <c r="G1210" t="s">
        <v>1503</v>
      </c>
    </row>
    <row r="1211" spans="1:7">
      <c r="A1211" s="1" t="s">
        <v>1507</v>
      </c>
      <c r="D1211" t="s">
        <v>1508</v>
      </c>
      <c r="E1211">
        <v>16</v>
      </c>
      <c r="F1211" s="3">
        <v>0</v>
      </c>
    </row>
    <row r="1212" spans="1:7">
      <c r="A1212" s="1" t="s">
        <v>1509</v>
      </c>
      <c r="D1212" t="s">
        <v>1510</v>
      </c>
      <c r="E1212">
        <v>16</v>
      </c>
      <c r="F1212" s="3" t="s">
        <v>1420</v>
      </c>
    </row>
    <row r="1213" spans="1:7">
      <c r="A1213" s="1" t="s">
        <v>1511</v>
      </c>
      <c r="D1213" t="s">
        <v>1512</v>
      </c>
      <c r="E1213">
        <v>16</v>
      </c>
      <c r="F1213" s="3" t="s">
        <v>1341</v>
      </c>
    </row>
    <row r="1214" spans="1:7">
      <c r="A1214" s="1" t="s">
        <v>1513</v>
      </c>
      <c r="D1214" t="s">
        <v>1514</v>
      </c>
      <c r="E1214">
        <v>16</v>
      </c>
      <c r="F1214" s="3">
        <v>0</v>
      </c>
    </row>
    <row r="1218" spans="1:6">
      <c r="A1218" s="1" t="s">
        <v>1515</v>
      </c>
      <c r="D1218" t="s">
        <v>1516</v>
      </c>
      <c r="E1218">
        <v>16</v>
      </c>
      <c r="F1218" s="3">
        <v>0</v>
      </c>
    </row>
    <row r="1219" spans="1:6">
      <c r="A1219" s="1" t="s">
        <v>1517</v>
      </c>
      <c r="D1219" t="s">
        <v>1518</v>
      </c>
      <c r="E1219">
        <v>16</v>
      </c>
      <c r="F1219" s="3">
        <v>0</v>
      </c>
    </row>
    <row r="1220" spans="1:6">
      <c r="A1220" s="1" t="s">
        <v>1519</v>
      </c>
      <c r="D1220" t="s">
        <v>1520</v>
      </c>
      <c r="E1220">
        <v>16</v>
      </c>
      <c r="F1220" s="3" t="s">
        <v>1275</v>
      </c>
    </row>
    <row r="1221" spans="1:6">
      <c r="A1221" s="1" t="s">
        <v>1521</v>
      </c>
      <c r="D1221" t="s">
        <v>1522</v>
      </c>
      <c r="E1221">
        <v>16</v>
      </c>
      <c r="F1221" s="3" t="s">
        <v>1417</v>
      </c>
    </row>
    <row r="1222" spans="1:6">
      <c r="A1222" s="1" t="s">
        <v>1523</v>
      </c>
      <c r="D1222" t="s">
        <v>1524</v>
      </c>
      <c r="E1222">
        <v>16</v>
      </c>
      <c r="F1222" s="3">
        <v>0</v>
      </c>
    </row>
    <row r="1224" spans="1:6">
      <c r="A1224" s="1" t="s">
        <v>1525</v>
      </c>
      <c r="D1224" t="s">
        <v>1526</v>
      </c>
      <c r="E1224">
        <v>32</v>
      </c>
      <c r="F1224" s="3">
        <v>0</v>
      </c>
    </row>
    <row r="1225" spans="1:6">
      <c r="A1225" s="1" t="s">
        <v>1527</v>
      </c>
      <c r="D1225" t="s">
        <v>1528</v>
      </c>
      <c r="E1225">
        <v>32</v>
      </c>
      <c r="F1225" s="3" t="s">
        <v>1529</v>
      </c>
    </row>
    <row r="1226" spans="1:6">
      <c r="A1226" s="1" t="s">
        <v>1530</v>
      </c>
      <c r="D1226" t="s">
        <v>1531</v>
      </c>
      <c r="E1226">
        <v>32</v>
      </c>
      <c r="F1226" s="3" t="s">
        <v>1532</v>
      </c>
    </row>
    <row r="1227" spans="1:6">
      <c r="A1227" s="1" t="s">
        <v>1533</v>
      </c>
      <c r="D1227" t="s">
        <v>1534</v>
      </c>
      <c r="E1227">
        <v>32</v>
      </c>
      <c r="F1227" s="3" t="s">
        <v>1426</v>
      </c>
    </row>
    <row r="1229" spans="1:6">
      <c r="A1229" s="1" t="s">
        <v>1535</v>
      </c>
      <c r="D1229" t="s">
        <v>1536</v>
      </c>
      <c r="E1229">
        <v>16</v>
      </c>
      <c r="F1229" s="3" t="s">
        <v>1537</v>
      </c>
    </row>
    <row r="1230" spans="1:6">
      <c r="A1230" s="1" t="s">
        <v>1538</v>
      </c>
      <c r="D1230" t="s">
        <v>1539</v>
      </c>
      <c r="E1230">
        <v>16</v>
      </c>
      <c r="F1230" s="3" t="s">
        <v>1540</v>
      </c>
    </row>
    <row r="1231" spans="1:6">
      <c r="A1231" s="1" t="s">
        <v>1541</v>
      </c>
      <c r="D1231" t="s">
        <v>1542</v>
      </c>
      <c r="E1231">
        <v>16</v>
      </c>
      <c r="F1231" s="3" t="s">
        <v>1543</v>
      </c>
    </row>
    <row r="1232" spans="1:6">
      <c r="A1232" s="1" t="s">
        <v>1544</v>
      </c>
      <c r="D1232" t="s">
        <v>1539</v>
      </c>
      <c r="E1232">
        <v>16</v>
      </c>
      <c r="F1232" s="3" t="s">
        <v>1545</v>
      </c>
    </row>
    <row r="1233" spans="1:7">
      <c r="A1233" s="1" t="s">
        <v>1546</v>
      </c>
      <c r="D1233" t="s">
        <v>1547</v>
      </c>
      <c r="E1233">
        <v>16</v>
      </c>
      <c r="F1233" s="3" t="s">
        <v>1548</v>
      </c>
    </row>
    <row r="1234" spans="1:7">
      <c r="A1234" s="1" t="s">
        <v>1549</v>
      </c>
      <c r="D1234" t="s">
        <v>1539</v>
      </c>
      <c r="E1234">
        <v>16</v>
      </c>
      <c r="F1234" s="3" t="s">
        <v>1550</v>
      </c>
    </row>
    <row r="1235" spans="1:7">
      <c r="A1235" s="1" t="s">
        <v>1551</v>
      </c>
      <c r="D1235" t="s">
        <v>1552</v>
      </c>
      <c r="E1235">
        <v>16</v>
      </c>
      <c r="F1235" s="3" t="s">
        <v>1553</v>
      </c>
    </row>
    <row r="1236" spans="1:7">
      <c r="A1236" s="1" t="s">
        <v>1554</v>
      </c>
      <c r="D1236" t="s">
        <v>1539</v>
      </c>
      <c r="E1236">
        <v>16</v>
      </c>
      <c r="F1236" s="5" t="s">
        <v>1555</v>
      </c>
    </row>
    <row r="1237" spans="1:7">
      <c r="A1237" s="1" t="s">
        <v>1556</v>
      </c>
      <c r="D1237" t="s">
        <v>1557</v>
      </c>
      <c r="E1237">
        <v>16</v>
      </c>
      <c r="F1237" s="5" t="s">
        <v>1558</v>
      </c>
    </row>
    <row r="1238" spans="1:7">
      <c r="A1238" s="1" t="s">
        <v>1559</v>
      </c>
      <c r="D1238" t="s">
        <v>1539</v>
      </c>
      <c r="E1238">
        <v>16</v>
      </c>
      <c r="F1238" s="5" t="s">
        <v>1560</v>
      </c>
    </row>
    <row r="1239" spans="1:7">
      <c r="A1239" s="1" t="s">
        <v>1561</v>
      </c>
      <c r="D1239" t="s">
        <v>1562</v>
      </c>
      <c r="E1239">
        <v>16</v>
      </c>
      <c r="F1239" s="5" t="s">
        <v>1563</v>
      </c>
    </row>
    <row r="1240" spans="1:7">
      <c r="A1240" s="1" t="s">
        <v>1564</v>
      </c>
      <c r="D1240" t="s">
        <v>1539</v>
      </c>
      <c r="E1240">
        <v>16</v>
      </c>
      <c r="F1240" s="5" t="s">
        <v>1565</v>
      </c>
    </row>
    <row r="1241" spans="1:7">
      <c r="A1241" s="1" t="s">
        <v>1566</v>
      </c>
      <c r="D1241" t="s">
        <v>1567</v>
      </c>
      <c r="E1241">
        <v>16</v>
      </c>
      <c r="F1241" s="3" t="s">
        <v>1568</v>
      </c>
    </row>
    <row r="1242" spans="1:7">
      <c r="A1242" s="1" t="s">
        <v>1569</v>
      </c>
      <c r="D1242" t="s">
        <v>1539</v>
      </c>
      <c r="E1242">
        <v>16</v>
      </c>
      <c r="F1242" s="3" t="s">
        <v>1570</v>
      </c>
    </row>
    <row r="1243" spans="1:7">
      <c r="A1243" s="1" t="s">
        <v>1571</v>
      </c>
      <c r="D1243" t="s">
        <v>1572</v>
      </c>
      <c r="E1243">
        <v>16</v>
      </c>
      <c r="F1243" s="3" t="s">
        <v>1573</v>
      </c>
    </row>
    <row r="1244" spans="1:7">
      <c r="A1244" s="1" t="s">
        <v>1574</v>
      </c>
      <c r="D1244" t="s">
        <v>1539</v>
      </c>
      <c r="E1244">
        <v>16</v>
      </c>
      <c r="F1244" s="3" t="s">
        <v>1575</v>
      </c>
    </row>
    <row r="1246" spans="1:7">
      <c r="A1246" s="1" t="s">
        <v>1576</v>
      </c>
      <c r="D1246" t="s">
        <v>1577</v>
      </c>
      <c r="E1246">
        <v>32</v>
      </c>
      <c r="F1246" s="3" t="s">
        <v>1578</v>
      </c>
      <c r="G1246" t="s">
        <v>1579</v>
      </c>
    </row>
    <row r="1248" spans="1:7">
      <c r="A1248" s="1" t="s">
        <v>1580</v>
      </c>
      <c r="D1248" t="s">
        <v>1581</v>
      </c>
      <c r="E1248">
        <v>16</v>
      </c>
    </row>
    <row r="1250" spans="1:6">
      <c r="A1250" s="1" t="s">
        <v>1582</v>
      </c>
      <c r="D1250" t="s">
        <v>1583</v>
      </c>
      <c r="E1250">
        <v>16</v>
      </c>
      <c r="F1250" s="3" t="s">
        <v>1584</v>
      </c>
    </row>
    <row r="1252" spans="1:6">
      <c r="A1252" s="1" t="s">
        <v>1585</v>
      </c>
      <c r="D1252" t="s">
        <v>1586</v>
      </c>
      <c r="E1252">
        <v>16</v>
      </c>
      <c r="F1252" s="3" t="s">
        <v>1587</v>
      </c>
    </row>
    <row r="1254" spans="1:6">
      <c r="A1254" s="1">
        <v>153264</v>
      </c>
      <c r="D1254" t="s">
        <v>1588</v>
      </c>
      <c r="E1254">
        <v>16</v>
      </c>
      <c r="F1254" s="3">
        <v>0</v>
      </c>
    </row>
    <row r="1255" spans="1:6">
      <c r="A1255" s="1">
        <v>153266</v>
      </c>
      <c r="D1255" t="s">
        <v>1589</v>
      </c>
      <c r="E1255">
        <v>16</v>
      </c>
      <c r="F1255" s="3" t="s">
        <v>388</v>
      </c>
    </row>
    <row r="1256" spans="1:6">
      <c r="A1256" s="1">
        <v>153268</v>
      </c>
      <c r="D1256" t="s">
        <v>1590</v>
      </c>
      <c r="E1256">
        <v>16</v>
      </c>
      <c r="F1256" s="3" t="s">
        <v>1341</v>
      </c>
    </row>
    <row r="1257" spans="1:6">
      <c r="A1257" s="1" t="s">
        <v>1591</v>
      </c>
      <c r="D1257" t="s">
        <v>1592</v>
      </c>
      <c r="E1257">
        <v>16</v>
      </c>
      <c r="F1257" s="3" t="s">
        <v>1593</v>
      </c>
    </row>
    <row r="1258" spans="1:6">
      <c r="A1258" s="1" t="s">
        <v>1594</v>
      </c>
      <c r="D1258" t="s">
        <v>1595</v>
      </c>
      <c r="E1258">
        <v>16</v>
      </c>
      <c r="F1258" s="3" t="s">
        <v>388</v>
      </c>
    </row>
    <row r="1260" spans="1:6">
      <c r="A1260" s="1">
        <v>153500</v>
      </c>
      <c r="D1260" t="s">
        <v>1596</v>
      </c>
    </row>
    <row r="1261" spans="1:6">
      <c r="D1261" t="s">
        <v>1597</v>
      </c>
    </row>
    <row r="1263" spans="1:6">
      <c r="A1263" s="1" t="s">
        <v>1598</v>
      </c>
      <c r="D1263" t="s">
        <v>1599</v>
      </c>
      <c r="E1263">
        <v>8</v>
      </c>
      <c r="F1263" s="3" t="s">
        <v>1600</v>
      </c>
    </row>
    <row r="1264" spans="1:6">
      <c r="A1264" s="1" t="s">
        <v>1601</v>
      </c>
      <c r="D1264" t="s">
        <v>1602</v>
      </c>
      <c r="E1264">
        <v>8</v>
      </c>
      <c r="F1264" s="3" t="s">
        <v>1603</v>
      </c>
    </row>
    <row r="1265" spans="1:6">
      <c r="A1265" s="1" t="s">
        <v>1604</v>
      </c>
      <c r="D1265" t="s">
        <v>1605</v>
      </c>
      <c r="E1265">
        <v>8</v>
      </c>
      <c r="F1265" s="3">
        <v>1</v>
      </c>
    </row>
    <row r="1266" spans="1:6">
      <c r="A1266" s="1" t="s">
        <v>1606</v>
      </c>
      <c r="E1266">
        <v>8</v>
      </c>
      <c r="F1266" s="3">
        <v>0</v>
      </c>
    </row>
    <row r="1267" spans="1:6">
      <c r="A1267" s="1" t="s">
        <v>1607</v>
      </c>
      <c r="D1267" t="s">
        <v>1608</v>
      </c>
      <c r="E1267">
        <v>32</v>
      </c>
      <c r="F1267" s="3" t="s">
        <v>382</v>
      </c>
    </row>
    <row r="1268" spans="1:6">
      <c r="A1268" s="1" t="s">
        <v>1609</v>
      </c>
      <c r="D1268" t="s">
        <v>1610</v>
      </c>
      <c r="E1268">
        <v>32</v>
      </c>
      <c r="F1268" s="3" t="s">
        <v>1611</v>
      </c>
    </row>
    <row r="1269" spans="1:6">
      <c r="A1269" s="1" t="s">
        <v>1612</v>
      </c>
      <c r="D1269" t="s">
        <v>1613</v>
      </c>
      <c r="E1269">
        <v>32</v>
      </c>
      <c r="F1269" s="3" t="s">
        <v>298</v>
      </c>
    </row>
    <row r="1270" spans="1:6">
      <c r="A1270" s="1" t="s">
        <v>1614</v>
      </c>
      <c r="D1270" t="s">
        <v>1615</v>
      </c>
      <c r="E1270">
        <v>32</v>
      </c>
      <c r="F1270" s="3" t="s">
        <v>1616</v>
      </c>
    </row>
    <row r="1271" spans="1:6">
      <c r="A1271" s="1" t="s">
        <v>1617</v>
      </c>
      <c r="D1271" t="s">
        <v>1618</v>
      </c>
      <c r="E1271">
        <v>32</v>
      </c>
      <c r="F1271" s="3" t="s">
        <v>382</v>
      </c>
    </row>
    <row r="1272" spans="1:6">
      <c r="A1272" s="1" t="s">
        <v>1619</v>
      </c>
      <c r="D1272" t="s">
        <v>1620</v>
      </c>
      <c r="E1272">
        <v>32</v>
      </c>
      <c r="F1272" s="3" t="s">
        <v>1621</v>
      </c>
    </row>
    <row r="1273" spans="1:6">
      <c r="A1273" s="1" t="s">
        <v>1622</v>
      </c>
      <c r="D1273" t="s">
        <v>1623</v>
      </c>
      <c r="E1273">
        <v>32</v>
      </c>
      <c r="F1273" s="3" t="s">
        <v>1624</v>
      </c>
    </row>
    <row r="1274" spans="1:6">
      <c r="A1274" s="1" t="s">
        <v>1625</v>
      </c>
      <c r="D1274" t="s">
        <v>1626</v>
      </c>
      <c r="E1274">
        <v>32</v>
      </c>
      <c r="F1274" s="3" t="s">
        <v>1616</v>
      </c>
    </row>
    <row r="1275" spans="1:6">
      <c r="A1275" s="1" t="s">
        <v>1627</v>
      </c>
      <c r="D1275" t="s">
        <v>1628</v>
      </c>
      <c r="E1275">
        <v>32</v>
      </c>
      <c r="F1275" s="3" t="s">
        <v>382</v>
      </c>
    </row>
    <row r="1277" spans="1:6">
      <c r="A1277" s="1" t="s">
        <v>1629</v>
      </c>
      <c r="D1277" t="s">
        <v>1630</v>
      </c>
      <c r="E1277">
        <v>32</v>
      </c>
      <c r="F1277" s="3" t="s">
        <v>1631</v>
      </c>
    </row>
    <row r="1278" spans="1:6">
      <c r="A1278" s="1" t="s">
        <v>1632</v>
      </c>
      <c r="D1278" t="s">
        <v>1630</v>
      </c>
      <c r="E1278">
        <v>32</v>
      </c>
      <c r="F1278" s="3" t="s">
        <v>1633</v>
      </c>
    </row>
    <row r="1279" spans="1:6">
      <c r="A1279" s="1" t="s">
        <v>1634</v>
      </c>
      <c r="D1279" t="s">
        <v>1630</v>
      </c>
      <c r="E1279">
        <v>32</v>
      </c>
      <c r="F1279" s="3" t="s">
        <v>1635</v>
      </c>
    </row>
    <row r="1280" spans="1:6">
      <c r="A1280" s="1" t="s">
        <v>1636</v>
      </c>
      <c r="D1280" t="s">
        <v>1630</v>
      </c>
      <c r="E1280">
        <v>32</v>
      </c>
      <c r="F1280" s="3" t="s">
        <v>1637</v>
      </c>
    </row>
    <row r="1282" spans="1:7">
      <c r="A1282" s="1" t="s">
        <v>1638</v>
      </c>
      <c r="D1282" t="s">
        <v>1639</v>
      </c>
      <c r="E1282">
        <v>16</v>
      </c>
      <c r="F1282" s="3" t="s">
        <v>1640</v>
      </c>
      <c r="G1282" t="s">
        <v>1641</v>
      </c>
    </row>
    <row r="1283" spans="1:7">
      <c r="A1283" s="1" t="s">
        <v>1642</v>
      </c>
      <c r="D1283" t="s">
        <v>1643</v>
      </c>
      <c r="E1283">
        <v>16</v>
      </c>
      <c r="F1283" s="3" t="s">
        <v>1399</v>
      </c>
    </row>
    <row r="1284" spans="1:7">
      <c r="A1284" s="1" t="s">
        <v>1644</v>
      </c>
      <c r="D1284" t="s">
        <v>1639</v>
      </c>
      <c r="E1284">
        <v>16</v>
      </c>
      <c r="F1284" s="3" t="s">
        <v>1645</v>
      </c>
    </row>
    <row r="1285" spans="1:7">
      <c r="A1285" s="1" t="s">
        <v>1646</v>
      </c>
      <c r="D1285" t="s">
        <v>1647</v>
      </c>
      <c r="E1285">
        <v>16</v>
      </c>
      <c r="F1285" s="3" t="s">
        <v>1648</v>
      </c>
    </row>
    <row r="1286" spans="1:7">
      <c r="A1286" s="1">
        <v>153600</v>
      </c>
      <c r="D1286" t="s">
        <v>1639</v>
      </c>
      <c r="E1286">
        <v>16</v>
      </c>
      <c r="F1286" s="3" t="s">
        <v>1649</v>
      </c>
    </row>
    <row r="1287" spans="1:7">
      <c r="A1287" s="1">
        <v>153602</v>
      </c>
      <c r="D1287" t="s">
        <v>1650</v>
      </c>
      <c r="E1287">
        <v>16</v>
      </c>
      <c r="F1287" s="3" t="s">
        <v>1291</v>
      </c>
    </row>
    <row r="1288" spans="1:7">
      <c r="A1288" s="1">
        <v>153604</v>
      </c>
      <c r="D1288" t="s">
        <v>1639</v>
      </c>
      <c r="E1288">
        <v>16</v>
      </c>
      <c r="F1288" s="3" t="s">
        <v>1651</v>
      </c>
    </row>
    <row r="1289" spans="1:7">
      <c r="A1289" s="1">
        <v>153606</v>
      </c>
      <c r="D1289" t="s">
        <v>1652</v>
      </c>
      <c r="E1289">
        <v>16</v>
      </c>
      <c r="F1289" s="3" t="s">
        <v>1653</v>
      </c>
    </row>
    <row r="1290" spans="1:7">
      <c r="A1290" s="1">
        <v>153608</v>
      </c>
      <c r="D1290" t="s">
        <v>1639</v>
      </c>
      <c r="E1290">
        <v>16</v>
      </c>
      <c r="F1290" s="3" t="s">
        <v>1654</v>
      </c>
    </row>
    <row r="1291" spans="1:7">
      <c r="A1291" s="1" t="s">
        <v>1655</v>
      </c>
      <c r="D1291" t="s">
        <v>1656</v>
      </c>
      <c r="E1291">
        <v>16</v>
      </c>
      <c r="F1291" s="3" t="s">
        <v>1657</v>
      </c>
    </row>
    <row r="1292" spans="1:7">
      <c r="A1292" s="1" t="s">
        <v>1658</v>
      </c>
      <c r="D1292" t="s">
        <v>1639</v>
      </c>
      <c r="E1292">
        <v>16</v>
      </c>
      <c r="F1292" s="3">
        <v>0</v>
      </c>
    </row>
    <row r="1293" spans="1:7">
      <c r="A1293" s="1" t="s">
        <v>1659</v>
      </c>
      <c r="D1293" t="s">
        <v>1660</v>
      </c>
      <c r="E1293">
        <v>16</v>
      </c>
      <c r="F1293" s="3" t="s">
        <v>1661</v>
      </c>
    </row>
    <row r="1295" spans="1:7">
      <c r="A1295" s="1">
        <v>153610</v>
      </c>
      <c r="D1295" t="s">
        <v>1662</v>
      </c>
      <c r="E1295">
        <v>16</v>
      </c>
      <c r="F1295" s="3" t="s">
        <v>1640</v>
      </c>
      <c r="G1295" t="s">
        <v>1663</v>
      </c>
    </row>
    <row r="1296" spans="1:7">
      <c r="A1296" s="1">
        <v>153612</v>
      </c>
      <c r="D1296" t="s">
        <v>1664</v>
      </c>
      <c r="E1296">
        <v>16</v>
      </c>
      <c r="F1296" s="3" t="s">
        <v>1399</v>
      </c>
    </row>
    <row r="1297" spans="1:6">
      <c r="A1297" s="1">
        <v>153614</v>
      </c>
      <c r="D1297" t="s">
        <v>1662</v>
      </c>
      <c r="E1297">
        <v>16</v>
      </c>
      <c r="F1297" s="3" t="s">
        <v>1645</v>
      </c>
    </row>
    <row r="1298" spans="1:6">
      <c r="A1298" s="1">
        <v>153616</v>
      </c>
      <c r="D1298" t="s">
        <v>1647</v>
      </c>
      <c r="E1298">
        <v>16</v>
      </c>
      <c r="F1298" s="3" t="s">
        <v>1648</v>
      </c>
    </row>
    <row r="1299" spans="1:6">
      <c r="A1299" s="1">
        <v>153618</v>
      </c>
      <c r="D1299" t="s">
        <v>1662</v>
      </c>
      <c r="E1299">
        <v>16</v>
      </c>
      <c r="F1299" s="3" t="s">
        <v>1649</v>
      </c>
    </row>
    <row r="1300" spans="1:6">
      <c r="A1300" s="1" t="s">
        <v>1665</v>
      </c>
      <c r="D1300" t="s">
        <v>1650</v>
      </c>
      <c r="E1300">
        <v>16</v>
      </c>
      <c r="F1300" s="3" t="s">
        <v>1291</v>
      </c>
    </row>
    <row r="1301" spans="1:6">
      <c r="A1301" s="1" t="s">
        <v>1666</v>
      </c>
      <c r="D1301" t="s">
        <v>1662</v>
      </c>
      <c r="E1301">
        <v>16</v>
      </c>
      <c r="F1301" s="3" t="s">
        <v>1651</v>
      </c>
    </row>
    <row r="1302" spans="1:6">
      <c r="A1302" s="1" t="s">
        <v>1667</v>
      </c>
      <c r="D1302" t="s">
        <v>1652</v>
      </c>
      <c r="E1302">
        <v>16</v>
      </c>
      <c r="F1302" s="3" t="s">
        <v>1668</v>
      </c>
    </row>
    <row r="1303" spans="1:6">
      <c r="A1303" s="1">
        <v>153620</v>
      </c>
      <c r="D1303" t="s">
        <v>1662</v>
      </c>
      <c r="E1303">
        <v>16</v>
      </c>
      <c r="F1303" s="3" t="s">
        <v>1654</v>
      </c>
    </row>
    <row r="1304" spans="1:6">
      <c r="A1304" s="1">
        <v>153622</v>
      </c>
      <c r="D1304" t="s">
        <v>1656</v>
      </c>
      <c r="E1304">
        <v>16</v>
      </c>
      <c r="F1304" s="3" t="s">
        <v>1657</v>
      </c>
    </row>
    <row r="1305" spans="1:6">
      <c r="A1305" s="1">
        <v>153624</v>
      </c>
      <c r="D1305" t="s">
        <v>1662</v>
      </c>
      <c r="E1305">
        <v>16</v>
      </c>
      <c r="F1305" s="3">
        <v>0</v>
      </c>
    </row>
    <row r="1306" spans="1:6">
      <c r="A1306" s="1">
        <v>153626</v>
      </c>
      <c r="D1306" t="s">
        <v>1660</v>
      </c>
      <c r="E1306">
        <v>16</v>
      </c>
      <c r="F1306" s="3" t="s">
        <v>1661</v>
      </c>
    </row>
    <row r="1308" spans="1:6">
      <c r="A1308" s="1">
        <v>153628</v>
      </c>
      <c r="E1308">
        <v>16</v>
      </c>
      <c r="F1308" s="3" t="s">
        <v>1669</v>
      </c>
    </row>
    <row r="1309" spans="1:6">
      <c r="A1309" s="1" t="s">
        <v>1670</v>
      </c>
      <c r="E1309">
        <v>32</v>
      </c>
      <c r="F1309" s="3" t="s">
        <v>1671</v>
      </c>
    </row>
    <row r="1310" spans="1:6">
      <c r="A1310" s="1">
        <v>153630</v>
      </c>
      <c r="E1310">
        <v>16</v>
      </c>
      <c r="F1310" s="3" t="s">
        <v>1672</v>
      </c>
    </row>
    <row r="1311" spans="1:6">
      <c r="A1311" s="1">
        <v>153634</v>
      </c>
      <c r="E1311">
        <v>32</v>
      </c>
      <c r="F1311" s="3" t="s">
        <v>1673</v>
      </c>
    </row>
    <row r="1312" spans="1:6">
      <c r="A1312" s="1">
        <v>153638</v>
      </c>
      <c r="E1312">
        <v>16</v>
      </c>
      <c r="F1312" s="3" t="s">
        <v>1674</v>
      </c>
    </row>
    <row r="1313" spans="1:6">
      <c r="A1313" s="1" t="s">
        <v>1675</v>
      </c>
      <c r="E1313">
        <v>32</v>
      </c>
      <c r="F1313" s="3" t="s">
        <v>1676</v>
      </c>
    </row>
    <row r="1314" spans="1:6">
      <c r="A1314" s="1">
        <v>153640</v>
      </c>
      <c r="E1314">
        <v>16</v>
      </c>
      <c r="F1314" s="3" t="s">
        <v>1677</v>
      </c>
    </row>
    <row r="1315" spans="1:6">
      <c r="A1315" s="1">
        <v>153644</v>
      </c>
      <c r="E1315">
        <v>32</v>
      </c>
      <c r="F1315" s="3" t="s">
        <v>1678</v>
      </c>
    </row>
    <row r="1316" spans="1:6">
      <c r="A1316" s="1">
        <v>153648</v>
      </c>
      <c r="E1316">
        <v>16</v>
      </c>
      <c r="F1316" s="3">
        <v>0</v>
      </c>
    </row>
    <row r="1317" spans="1:6">
      <c r="A1317" s="1" t="s">
        <v>1679</v>
      </c>
      <c r="E1317">
        <v>32</v>
      </c>
      <c r="F1317" s="3" t="s">
        <v>1680</v>
      </c>
    </row>
    <row r="1319" spans="1:6">
      <c r="A1319" s="1">
        <v>153650</v>
      </c>
      <c r="D1319" t="s">
        <v>1681</v>
      </c>
      <c r="E1319">
        <v>16</v>
      </c>
      <c r="F1319" s="3" t="s">
        <v>1341</v>
      </c>
    </row>
    <row r="1320" spans="1:6">
      <c r="A1320" s="1">
        <v>153652</v>
      </c>
      <c r="D1320" t="s">
        <v>1682</v>
      </c>
      <c r="E1320">
        <v>16</v>
      </c>
      <c r="F1320" s="3" t="s">
        <v>1403</v>
      </c>
    </row>
    <row r="1321" spans="1:6">
      <c r="A1321" s="1">
        <v>153654</v>
      </c>
      <c r="D1321" t="s">
        <v>1683</v>
      </c>
      <c r="E1321">
        <v>16</v>
      </c>
      <c r="F1321" s="3" t="s">
        <v>1684</v>
      </c>
    </row>
    <row r="1322" spans="1:6">
      <c r="A1322" s="1">
        <v>153656</v>
      </c>
      <c r="D1322" t="s">
        <v>1682</v>
      </c>
      <c r="E1322">
        <v>16</v>
      </c>
      <c r="F1322" s="3" t="s">
        <v>1399</v>
      </c>
    </row>
    <row r="1323" spans="1:6">
      <c r="A1323" s="1">
        <v>153658</v>
      </c>
      <c r="D1323" t="s">
        <v>1685</v>
      </c>
      <c r="E1323">
        <v>16</v>
      </c>
      <c r="F1323" s="3" t="s">
        <v>1686</v>
      </c>
    </row>
    <row r="1324" spans="1:6">
      <c r="A1324" s="1" t="s">
        <v>1687</v>
      </c>
      <c r="D1324" t="s">
        <v>1682</v>
      </c>
      <c r="E1324">
        <v>16</v>
      </c>
      <c r="F1324" s="3" t="s">
        <v>1648</v>
      </c>
    </row>
    <row r="1325" spans="1:6">
      <c r="A1325" s="1" t="s">
        <v>1688</v>
      </c>
      <c r="D1325" t="s">
        <v>1689</v>
      </c>
      <c r="E1325">
        <v>16</v>
      </c>
      <c r="F1325" s="3" t="s">
        <v>1690</v>
      </c>
    </row>
    <row r="1326" spans="1:6">
      <c r="A1326" s="1" t="s">
        <v>1691</v>
      </c>
      <c r="D1326" t="s">
        <v>1682</v>
      </c>
      <c r="E1326">
        <v>16</v>
      </c>
      <c r="F1326" s="3" t="s">
        <v>1291</v>
      </c>
    </row>
    <row r="1327" spans="1:6">
      <c r="A1327" s="1">
        <v>153660</v>
      </c>
      <c r="D1327" t="s">
        <v>1692</v>
      </c>
      <c r="E1327">
        <v>16</v>
      </c>
      <c r="F1327" s="3" t="s">
        <v>1693</v>
      </c>
    </row>
    <row r="1328" spans="1:6">
      <c r="A1328" s="1">
        <v>153662</v>
      </c>
      <c r="D1328" t="s">
        <v>1682</v>
      </c>
      <c r="E1328">
        <v>16</v>
      </c>
      <c r="F1328" s="3" t="s">
        <v>1420</v>
      </c>
    </row>
    <row r="1329" spans="1:8">
      <c r="A1329" s="1">
        <v>153664</v>
      </c>
      <c r="D1329" t="s">
        <v>1694</v>
      </c>
      <c r="E1329">
        <v>16</v>
      </c>
      <c r="F1329" s="3">
        <v>0</v>
      </c>
    </row>
    <row r="1330" spans="1:8">
      <c r="A1330" s="1">
        <v>153666</v>
      </c>
      <c r="D1330" t="s">
        <v>1682</v>
      </c>
      <c r="E1330">
        <v>16</v>
      </c>
      <c r="F1330" s="3">
        <v>0</v>
      </c>
    </row>
    <row r="1332" spans="1:8">
      <c r="A1332" s="1">
        <v>153668</v>
      </c>
      <c r="D1332" t="s">
        <v>1695</v>
      </c>
      <c r="E1332">
        <v>16</v>
      </c>
      <c r="F1332" s="3" t="s">
        <v>1669</v>
      </c>
    </row>
    <row r="1333" spans="1:8">
      <c r="A1333" s="1" t="s">
        <v>1696</v>
      </c>
      <c r="D1333" t="s">
        <v>1697</v>
      </c>
      <c r="E1333">
        <v>32</v>
      </c>
      <c r="F1333" s="3" t="s">
        <v>1698</v>
      </c>
    </row>
    <row r="1334" spans="1:8">
      <c r="A1334" s="1">
        <v>153670</v>
      </c>
      <c r="D1334" t="s">
        <v>1699</v>
      </c>
      <c r="E1334">
        <v>16</v>
      </c>
      <c r="F1334" s="3" t="s">
        <v>1672</v>
      </c>
    </row>
    <row r="1335" spans="1:8">
      <c r="A1335" s="1">
        <v>153674</v>
      </c>
      <c r="D1335" t="s">
        <v>1697</v>
      </c>
      <c r="E1335">
        <v>32</v>
      </c>
      <c r="F1335" s="3" t="s">
        <v>1700</v>
      </c>
    </row>
    <row r="1336" spans="1:8">
      <c r="A1336" s="1">
        <v>153678</v>
      </c>
      <c r="D1336" t="s">
        <v>1699</v>
      </c>
      <c r="E1336">
        <v>16</v>
      </c>
      <c r="F1336" s="3" t="s">
        <v>1674</v>
      </c>
    </row>
    <row r="1337" spans="1:8">
      <c r="A1337" s="1" t="s">
        <v>1701</v>
      </c>
      <c r="D1337" t="s">
        <v>1697</v>
      </c>
      <c r="E1337">
        <v>32</v>
      </c>
      <c r="F1337" s="3" t="s">
        <v>1702</v>
      </c>
    </row>
    <row r="1338" spans="1:8">
      <c r="A1338" s="1">
        <v>153680</v>
      </c>
      <c r="D1338" t="s">
        <v>1699</v>
      </c>
      <c r="E1338">
        <v>16</v>
      </c>
      <c r="F1338" s="3" t="s">
        <v>1703</v>
      </c>
    </row>
    <row r="1339" spans="1:8">
      <c r="A1339" s="1">
        <v>153684</v>
      </c>
      <c r="D1339" t="s">
        <v>1697</v>
      </c>
      <c r="E1339">
        <v>32</v>
      </c>
      <c r="F1339" s="3" t="s">
        <v>1704</v>
      </c>
    </row>
    <row r="1340" spans="1:8">
      <c r="A1340" s="1">
        <v>153688</v>
      </c>
      <c r="D1340" t="s">
        <v>1705</v>
      </c>
      <c r="E1340">
        <v>16</v>
      </c>
      <c r="F1340" s="3" t="s">
        <v>1706</v>
      </c>
    </row>
    <row r="1341" spans="1:8">
      <c r="A1341" s="1" t="s">
        <v>1707</v>
      </c>
      <c r="D1341" t="s">
        <v>1697</v>
      </c>
      <c r="E1341">
        <v>32</v>
      </c>
      <c r="F1341" s="3" t="s">
        <v>1708</v>
      </c>
    </row>
    <row r="1342" spans="1:8">
      <c r="A1342" s="1">
        <v>153690</v>
      </c>
      <c r="D1342" t="s">
        <v>1709</v>
      </c>
      <c r="E1342">
        <v>16</v>
      </c>
      <c r="F1342" s="3" t="s">
        <v>382</v>
      </c>
    </row>
    <row r="1343" spans="1:8">
      <c r="A1343" s="1">
        <v>153694</v>
      </c>
      <c r="D1343" t="s">
        <v>1710</v>
      </c>
      <c r="E1343">
        <v>32</v>
      </c>
      <c r="F1343" s="3" t="s">
        <v>1711</v>
      </c>
      <c r="G1343" t="s">
        <v>1712</v>
      </c>
      <c r="H1343" t="s">
        <v>1713</v>
      </c>
    </row>
    <row r="1344" spans="1:8">
      <c r="A1344" s="1">
        <v>153698</v>
      </c>
      <c r="D1344" t="s">
        <v>1714</v>
      </c>
      <c r="E1344">
        <v>32</v>
      </c>
      <c r="F1344" s="3" t="s">
        <v>1715</v>
      </c>
    </row>
    <row r="1345" spans="1:6">
      <c r="A1345" s="1" t="s">
        <v>1716</v>
      </c>
      <c r="D1345" t="s">
        <v>1717</v>
      </c>
      <c r="E1345">
        <v>32</v>
      </c>
      <c r="F1345" s="3" t="s">
        <v>1718</v>
      </c>
    </row>
    <row r="1346" spans="1:6">
      <c r="A1346" s="1" t="s">
        <v>1719</v>
      </c>
      <c r="D1346" t="s">
        <v>1720</v>
      </c>
      <c r="E1346">
        <v>32</v>
      </c>
      <c r="F1346" s="3" t="s">
        <v>1721</v>
      </c>
    </row>
    <row r="1347" spans="1:6">
      <c r="A1347" s="1" t="s">
        <v>1722</v>
      </c>
      <c r="D1347" t="s">
        <v>1723</v>
      </c>
      <c r="E1347">
        <v>32</v>
      </c>
      <c r="F1347" s="3" t="s">
        <v>1724</v>
      </c>
    </row>
    <row r="1348" spans="1:6">
      <c r="A1348" s="1" t="s">
        <v>1725</v>
      </c>
      <c r="D1348" t="s">
        <v>1726</v>
      </c>
      <c r="E1348">
        <v>32</v>
      </c>
      <c r="F1348" s="3" t="s">
        <v>1727</v>
      </c>
    </row>
    <row r="1351" spans="1:6">
      <c r="A1351" s="1" t="s">
        <v>1728</v>
      </c>
      <c r="D1351" t="s">
        <v>1729</v>
      </c>
      <c r="E1351">
        <v>8</v>
      </c>
      <c r="F1351" s="3" t="s">
        <v>1730</v>
      </c>
    </row>
    <row r="1352" spans="1:6">
      <c r="A1352" s="1" t="s">
        <v>1731</v>
      </c>
      <c r="D1352" t="s">
        <v>1732</v>
      </c>
      <c r="E1352">
        <v>8</v>
      </c>
      <c r="F1352" s="3" t="s">
        <v>1733</v>
      </c>
    </row>
    <row r="1353" spans="1:6">
      <c r="A1353" s="1" t="s">
        <v>1734</v>
      </c>
      <c r="D1353" t="s">
        <v>1735</v>
      </c>
      <c r="E1353">
        <v>8</v>
      </c>
      <c r="F1353" s="3" t="s">
        <v>1736</v>
      </c>
    </row>
    <row r="1355" spans="1:6">
      <c r="A1355" s="1">
        <v>153714</v>
      </c>
      <c r="D1355" t="s">
        <v>1737</v>
      </c>
      <c r="E1355">
        <v>16</v>
      </c>
      <c r="F1355" s="3" t="s">
        <v>1738</v>
      </c>
    </row>
    <row r="1356" spans="1:6">
      <c r="A1356" s="1">
        <v>153716</v>
      </c>
      <c r="D1356" t="s">
        <v>1739</v>
      </c>
      <c r="E1356">
        <v>16</v>
      </c>
      <c r="F1356" s="3" t="s">
        <v>1740</v>
      </c>
    </row>
    <row r="1357" spans="1:6">
      <c r="A1357" s="1">
        <v>153718</v>
      </c>
      <c r="D1357" t="s">
        <v>1741</v>
      </c>
      <c r="E1357">
        <v>16</v>
      </c>
      <c r="F1357" s="3" t="s">
        <v>1742</v>
      </c>
    </row>
    <row r="1358" spans="1:6">
      <c r="A1358" s="1" t="s">
        <v>1743</v>
      </c>
      <c r="D1358" t="s">
        <v>1739</v>
      </c>
      <c r="E1358">
        <v>16</v>
      </c>
      <c r="F1358" s="3" t="s">
        <v>1407</v>
      </c>
    </row>
    <row r="1359" spans="1:6">
      <c r="A1359" s="1" t="s">
        <v>1744</v>
      </c>
      <c r="D1359" t="s">
        <v>1745</v>
      </c>
      <c r="E1359">
        <v>16</v>
      </c>
      <c r="F1359" s="3" t="s">
        <v>1746</v>
      </c>
    </row>
    <row r="1360" spans="1:6">
      <c r="A1360" s="1" t="s">
        <v>1747</v>
      </c>
      <c r="D1360" t="s">
        <v>1739</v>
      </c>
      <c r="E1360">
        <v>16</v>
      </c>
      <c r="F1360" s="3" t="s">
        <v>1748</v>
      </c>
    </row>
    <row r="1361" spans="1:7">
      <c r="A1361" s="1">
        <v>153720</v>
      </c>
      <c r="D1361" t="s">
        <v>1749</v>
      </c>
      <c r="E1361">
        <v>16</v>
      </c>
      <c r="F1361" s="3" t="s">
        <v>1750</v>
      </c>
    </row>
    <row r="1362" spans="1:7">
      <c r="A1362" s="1">
        <v>153722</v>
      </c>
      <c r="D1362" t="s">
        <v>1739</v>
      </c>
      <c r="E1362">
        <v>16</v>
      </c>
      <c r="F1362" s="3" t="s">
        <v>1232</v>
      </c>
    </row>
    <row r="1363" spans="1:7">
      <c r="A1363" s="1">
        <v>153724</v>
      </c>
      <c r="D1363" t="s">
        <v>1751</v>
      </c>
      <c r="E1363">
        <v>16</v>
      </c>
      <c r="F1363" s="3">
        <v>0</v>
      </c>
    </row>
    <row r="1364" spans="1:7">
      <c r="A1364" s="1">
        <v>153726</v>
      </c>
      <c r="D1364" t="s">
        <v>1739</v>
      </c>
      <c r="E1364">
        <v>16</v>
      </c>
      <c r="F1364" s="3" t="s">
        <v>1752</v>
      </c>
    </row>
    <row r="1366" spans="1:7">
      <c r="A1366" s="1">
        <v>153728</v>
      </c>
      <c r="D1366" t="s">
        <v>1753</v>
      </c>
      <c r="E1366">
        <v>16</v>
      </c>
      <c r="F1366" s="3" t="s">
        <v>1754</v>
      </c>
      <c r="G1366" t="s">
        <v>1755</v>
      </c>
    </row>
    <row r="1367" spans="1:7">
      <c r="A1367" s="1" t="s">
        <v>1756</v>
      </c>
      <c r="D1367" t="s">
        <v>1757</v>
      </c>
      <c r="E1367">
        <v>16</v>
      </c>
      <c r="F1367" s="3" t="s">
        <v>1752</v>
      </c>
    </row>
    <row r="1368" spans="1:7">
      <c r="A1368" s="1" t="s">
        <v>1758</v>
      </c>
      <c r="D1368" t="s">
        <v>1759</v>
      </c>
      <c r="E1368">
        <v>16</v>
      </c>
      <c r="F1368" s="3" t="s">
        <v>1760</v>
      </c>
    </row>
    <row r="1369" spans="1:7">
      <c r="A1369" s="1" t="s">
        <v>1761</v>
      </c>
      <c r="D1369" t="s">
        <v>1757</v>
      </c>
      <c r="E1369">
        <v>16</v>
      </c>
      <c r="F1369" s="3" t="s">
        <v>1762</v>
      </c>
    </row>
    <row r="1370" spans="1:7">
      <c r="A1370" s="1">
        <v>153730</v>
      </c>
      <c r="D1370" t="s">
        <v>1763</v>
      </c>
      <c r="E1370">
        <v>16</v>
      </c>
      <c r="F1370" s="3" t="s">
        <v>1764</v>
      </c>
    </row>
    <row r="1371" spans="1:7">
      <c r="A1371" s="1">
        <v>153732</v>
      </c>
      <c r="D1371" t="s">
        <v>1757</v>
      </c>
      <c r="E1371">
        <v>16</v>
      </c>
      <c r="F1371" s="3" t="s">
        <v>1765</v>
      </c>
    </row>
    <row r="1372" spans="1:7">
      <c r="A1372" s="1">
        <v>153734</v>
      </c>
      <c r="D1372" t="s">
        <v>1766</v>
      </c>
      <c r="E1372">
        <v>16</v>
      </c>
      <c r="F1372" s="3" t="s">
        <v>1767</v>
      </c>
    </row>
    <row r="1373" spans="1:7">
      <c r="A1373" s="1">
        <v>153736</v>
      </c>
      <c r="D1373" t="s">
        <v>1757</v>
      </c>
      <c r="E1373">
        <v>16</v>
      </c>
      <c r="F1373" s="3" t="s">
        <v>1768</v>
      </c>
    </row>
    <row r="1374" spans="1:7">
      <c r="A1374" s="1">
        <v>153738</v>
      </c>
      <c r="D1374" t="s">
        <v>1769</v>
      </c>
      <c r="E1374">
        <v>16</v>
      </c>
      <c r="F1374" s="3" t="s">
        <v>1770</v>
      </c>
    </row>
    <row r="1375" spans="1:7">
      <c r="A1375" s="1" t="s">
        <v>1771</v>
      </c>
      <c r="D1375" t="s">
        <v>1757</v>
      </c>
      <c r="E1375">
        <v>16</v>
      </c>
      <c r="F1375" s="3" t="s">
        <v>1772</v>
      </c>
    </row>
    <row r="1376" spans="1:7">
      <c r="A1376" s="1" t="s">
        <v>1773</v>
      </c>
      <c r="D1376" t="s">
        <v>1774</v>
      </c>
      <c r="E1376">
        <v>16</v>
      </c>
      <c r="F1376" s="3">
        <v>0</v>
      </c>
    </row>
    <row r="1377" spans="1:6">
      <c r="A1377" s="1" t="s">
        <v>1775</v>
      </c>
      <c r="D1377" t="s">
        <v>1757</v>
      </c>
      <c r="E1377">
        <v>16</v>
      </c>
      <c r="F1377" s="25" t="s">
        <v>1776</v>
      </c>
    </row>
    <row r="1379" spans="1:6">
      <c r="A1379" s="1" t="s">
        <v>1777</v>
      </c>
      <c r="D1379" t="s">
        <v>1778</v>
      </c>
      <c r="E1379">
        <v>16</v>
      </c>
      <c r="F1379" s="3">
        <v>34</v>
      </c>
    </row>
    <row r="1380" spans="1:6">
      <c r="A1380" s="1" t="s">
        <v>1779</v>
      </c>
      <c r="D1380" t="s">
        <v>1780</v>
      </c>
      <c r="E1380">
        <v>16</v>
      </c>
      <c r="F1380" s="3">
        <v>35</v>
      </c>
    </row>
    <row r="1381" spans="1:6">
      <c r="A1381" s="1" t="s">
        <v>1781</v>
      </c>
      <c r="D1381" t="s">
        <v>1782</v>
      </c>
      <c r="E1381">
        <v>16</v>
      </c>
      <c r="F1381" s="3">
        <v>36</v>
      </c>
    </row>
    <row r="1383" spans="1:6">
      <c r="A1383" s="1">
        <v>153800</v>
      </c>
      <c r="D1383" t="s">
        <v>1783</v>
      </c>
      <c r="E1383">
        <v>32</v>
      </c>
      <c r="F1383" s="3" t="s">
        <v>1784</v>
      </c>
    </row>
    <row r="1384" spans="1:6">
      <c r="A1384" s="1">
        <v>153804</v>
      </c>
      <c r="D1384" t="s">
        <v>1785</v>
      </c>
      <c r="E1384">
        <v>32</v>
      </c>
    </row>
    <row r="1385" spans="1:6">
      <c r="A1385" s="1">
        <v>153808</v>
      </c>
      <c r="D1385" t="s">
        <v>1786</v>
      </c>
      <c r="E1385">
        <v>32</v>
      </c>
    </row>
    <row r="1386" spans="1:6">
      <c r="A1386" s="1" t="s">
        <v>1787</v>
      </c>
      <c r="D1386" t="s">
        <v>1788</v>
      </c>
      <c r="E1386">
        <v>32</v>
      </c>
    </row>
    <row r="1387" spans="1:6">
      <c r="A1387" s="1">
        <v>153810</v>
      </c>
      <c r="D1387" t="s">
        <v>192</v>
      </c>
      <c r="E1387">
        <v>32</v>
      </c>
    </row>
    <row r="1388" spans="1:6">
      <c r="A1388" s="1">
        <v>153814</v>
      </c>
      <c r="D1388" t="s">
        <v>1789</v>
      </c>
      <c r="E1388">
        <v>32</v>
      </c>
    </row>
    <row r="1389" spans="1:6">
      <c r="A1389" s="1">
        <v>153818</v>
      </c>
      <c r="D1389" t="s">
        <v>192</v>
      </c>
      <c r="E1389">
        <v>32</v>
      </c>
    </row>
    <row r="1390" spans="1:6">
      <c r="A1390" s="1" t="s">
        <v>1790</v>
      </c>
      <c r="D1390" t="s">
        <v>1791</v>
      </c>
      <c r="E1390">
        <v>32</v>
      </c>
    </row>
    <row r="1391" spans="1:6">
      <c r="A1391" s="1">
        <v>153820</v>
      </c>
      <c r="D1391" t="s">
        <v>1792</v>
      </c>
      <c r="E1391">
        <v>32</v>
      </c>
    </row>
    <row r="1392" spans="1:6">
      <c r="A1392" s="1">
        <v>153824</v>
      </c>
      <c r="D1392" t="s">
        <v>1793</v>
      </c>
      <c r="E1392">
        <v>32</v>
      </c>
    </row>
    <row r="1393" spans="1:5">
      <c r="A1393" s="1">
        <v>153828</v>
      </c>
      <c r="D1393" t="s">
        <v>1794</v>
      </c>
      <c r="E1393">
        <v>32</v>
      </c>
    </row>
    <row r="1394" spans="1:5">
      <c r="A1394" s="1" t="s">
        <v>1795</v>
      </c>
      <c r="D1394" t="s">
        <v>1796</v>
      </c>
      <c r="E1394">
        <v>32</v>
      </c>
    </row>
    <row r="1395" spans="1:5">
      <c r="A1395" s="1">
        <v>153830</v>
      </c>
      <c r="D1395" t="s">
        <v>1797</v>
      </c>
      <c r="E1395">
        <v>32</v>
      </c>
    </row>
    <row r="1396" spans="1:5">
      <c r="A1396" s="1">
        <v>153834</v>
      </c>
      <c r="D1396" t="s">
        <v>1798</v>
      </c>
      <c r="E1396">
        <v>32</v>
      </c>
    </row>
    <row r="1397" spans="1:5">
      <c r="A1397" s="1">
        <v>153838</v>
      </c>
      <c r="D1397" t="s">
        <v>1799</v>
      </c>
      <c r="E1397">
        <v>32</v>
      </c>
    </row>
    <row r="1398" spans="1:5">
      <c r="A1398" s="1" t="s">
        <v>1800</v>
      </c>
      <c r="D1398" t="s">
        <v>1799</v>
      </c>
      <c r="E1398">
        <v>32</v>
      </c>
    </row>
    <row r="1399" spans="1:5">
      <c r="A1399" s="1">
        <v>153840</v>
      </c>
      <c r="D1399" t="s">
        <v>1801</v>
      </c>
      <c r="E1399">
        <v>32</v>
      </c>
    </row>
    <row r="1400" spans="1:5">
      <c r="A1400" s="1">
        <v>153844</v>
      </c>
      <c r="D1400" t="s">
        <v>1802</v>
      </c>
      <c r="E1400">
        <v>32</v>
      </c>
    </row>
    <row r="1401" spans="1:5">
      <c r="A1401" s="1">
        <v>153848</v>
      </c>
      <c r="D1401" t="s">
        <v>1803</v>
      </c>
      <c r="E1401">
        <v>32</v>
      </c>
    </row>
    <row r="1402" spans="1:5">
      <c r="A1402" s="1" t="s">
        <v>1804</v>
      </c>
      <c r="D1402" t="s">
        <v>1805</v>
      </c>
      <c r="E1402">
        <v>32</v>
      </c>
    </row>
    <row r="1403" spans="1:5">
      <c r="A1403" s="1">
        <v>153850</v>
      </c>
      <c r="D1403" t="s">
        <v>1806</v>
      </c>
      <c r="E1403">
        <v>32</v>
      </c>
    </row>
    <row r="1404" spans="1:5">
      <c r="A1404" s="1">
        <v>153854</v>
      </c>
      <c r="D1404" t="s">
        <v>1807</v>
      </c>
      <c r="E1404">
        <v>32</v>
      </c>
    </row>
    <row r="1405" spans="1:5">
      <c r="A1405" s="1">
        <v>153858</v>
      </c>
      <c r="D1405" t="s">
        <v>1808</v>
      </c>
      <c r="E1405">
        <v>32</v>
      </c>
    </row>
    <row r="1406" spans="1:5">
      <c r="A1406" s="1" t="s">
        <v>1809</v>
      </c>
      <c r="D1406" t="s">
        <v>1808</v>
      </c>
      <c r="E1406">
        <v>32</v>
      </c>
    </row>
    <row r="1407" spans="1:5">
      <c r="A1407" s="1">
        <v>153860</v>
      </c>
      <c r="D1407" t="s">
        <v>1810</v>
      </c>
    </row>
    <row r="1408" spans="1:5">
      <c r="A1408" s="1">
        <v>153864</v>
      </c>
      <c r="D1408" t="s">
        <v>1811</v>
      </c>
    </row>
    <row r="1409" spans="1:4">
      <c r="A1409" s="1">
        <v>153868</v>
      </c>
    </row>
    <row r="1410" spans="1:4">
      <c r="A1410" s="1" t="s">
        <v>1812</v>
      </c>
    </row>
    <row r="1411" spans="1:4">
      <c r="A1411" s="1">
        <v>153870</v>
      </c>
      <c r="D1411" t="s">
        <v>1813</v>
      </c>
    </row>
    <row r="1412" spans="1:4">
      <c r="A1412" s="1">
        <v>153874</v>
      </c>
      <c r="D1412" t="s">
        <v>1814</v>
      </c>
    </row>
    <row r="1413" spans="1:4">
      <c r="A1413" s="1">
        <v>153878</v>
      </c>
    </row>
    <row r="1414" spans="1:4">
      <c r="A1414" s="1" t="s">
        <v>1815</v>
      </c>
    </row>
    <row r="1415" spans="1:4">
      <c r="A1415" s="1">
        <v>153880</v>
      </c>
      <c r="D1415" t="s">
        <v>1816</v>
      </c>
    </row>
    <row r="1416" spans="1:4">
      <c r="A1416" s="1">
        <v>153884</v>
      </c>
      <c r="D1416" t="s">
        <v>1817</v>
      </c>
    </row>
    <row r="1424" spans="1:4">
      <c r="A1424" s="1" t="s">
        <v>1818</v>
      </c>
    </row>
    <row r="1425" spans="1:6">
      <c r="A1425" s="1" t="s">
        <v>1819</v>
      </c>
    </row>
    <row r="1426" spans="1:6">
      <c r="A1426" s="1" t="s">
        <v>1820</v>
      </c>
    </row>
    <row r="1427" spans="1:6">
      <c r="A1427" s="1" t="s">
        <v>1821</v>
      </c>
    </row>
    <row r="1428" spans="1:6">
      <c r="A1428" s="1" t="s">
        <v>1822</v>
      </c>
    </row>
    <row r="1429" spans="1:6">
      <c r="A1429" s="1" t="s">
        <v>1823</v>
      </c>
    </row>
    <row r="1430" spans="1:6">
      <c r="A1430" s="1" t="s">
        <v>1824</v>
      </c>
    </row>
    <row r="1431" spans="1:6">
      <c r="A1431" s="1" t="s">
        <v>1825</v>
      </c>
    </row>
    <row r="1432" spans="1:6">
      <c r="A1432" s="1" t="s">
        <v>1826</v>
      </c>
    </row>
    <row r="1433" spans="1:6">
      <c r="A1433" s="1" t="s">
        <v>1827</v>
      </c>
    </row>
    <row r="1434" spans="1:6">
      <c r="A1434" s="1" t="s">
        <v>1828</v>
      </c>
    </row>
    <row r="1435" spans="1:6">
      <c r="A1435" s="1" t="s">
        <v>1829</v>
      </c>
    </row>
    <row r="1436" spans="1:6">
      <c r="A1436" s="1" t="s">
        <v>1830</v>
      </c>
    </row>
    <row r="1437" spans="1:6">
      <c r="A1437" s="1" t="s">
        <v>1831</v>
      </c>
    </row>
    <row r="1438" spans="1:6">
      <c r="A1438" s="1" t="s">
        <v>1832</v>
      </c>
    </row>
    <row r="1440" spans="1:6">
      <c r="A1440" s="1">
        <v>153900</v>
      </c>
      <c r="D1440" t="s">
        <v>1833</v>
      </c>
      <c r="E1440">
        <v>16</v>
      </c>
      <c r="F1440" s="3" t="s">
        <v>1834</v>
      </c>
    </row>
    <row r="1441" spans="1:10">
      <c r="A1441" s="1">
        <v>153902</v>
      </c>
      <c r="D1441" t="s">
        <v>1833</v>
      </c>
      <c r="E1441">
        <v>16</v>
      </c>
      <c r="F1441" s="3" t="s">
        <v>1835</v>
      </c>
    </row>
    <row r="1442" spans="1:10">
      <c r="A1442" s="1">
        <v>153904</v>
      </c>
      <c r="D1442" t="s">
        <v>1833</v>
      </c>
      <c r="E1442">
        <v>16</v>
      </c>
      <c r="F1442" s="3" t="s">
        <v>1836</v>
      </c>
    </row>
    <row r="1443" spans="1:10">
      <c r="A1443" s="1">
        <v>153906</v>
      </c>
      <c r="D1443" t="s">
        <v>1833</v>
      </c>
      <c r="E1443">
        <v>16</v>
      </c>
      <c r="F1443" s="3" t="s">
        <v>1837</v>
      </c>
    </row>
    <row r="1444" spans="1:10">
      <c r="A1444" s="1">
        <v>153908</v>
      </c>
    </row>
    <row r="1445" spans="1:10">
      <c r="A1445" s="1">
        <v>153910</v>
      </c>
      <c r="D1445" t="s">
        <v>1838</v>
      </c>
      <c r="E1445">
        <v>16</v>
      </c>
      <c r="F1445" s="3">
        <v>10</v>
      </c>
    </row>
    <row r="1447" spans="1:10">
      <c r="A1447" s="1" t="s">
        <v>1839</v>
      </c>
      <c r="D1447" t="s">
        <v>1840</v>
      </c>
      <c r="E1447">
        <v>32</v>
      </c>
      <c r="F1447" s="3" t="s">
        <v>1841</v>
      </c>
    </row>
    <row r="1448" spans="1:10">
      <c r="A1448" s="1" t="s">
        <v>1842</v>
      </c>
      <c r="E1448">
        <v>32</v>
      </c>
      <c r="F1448" s="3" t="s">
        <v>1843</v>
      </c>
    </row>
    <row r="1449" spans="1:10">
      <c r="A1449" s="1" t="s">
        <v>1844</v>
      </c>
      <c r="D1449" t="s">
        <v>1845</v>
      </c>
      <c r="E1449">
        <v>16</v>
      </c>
      <c r="F1449" s="3" t="s">
        <v>1706</v>
      </c>
    </row>
    <row r="1450" spans="1:10">
      <c r="A1450" s="1" t="s">
        <v>1846</v>
      </c>
      <c r="D1450" t="s">
        <v>1845</v>
      </c>
      <c r="E1450">
        <v>16</v>
      </c>
      <c r="F1450" s="3" t="s">
        <v>1674</v>
      </c>
    </row>
    <row r="1451" spans="1:10">
      <c r="A1451" s="1" t="s">
        <v>1847</v>
      </c>
      <c r="D1451" t="s">
        <v>1845</v>
      </c>
      <c r="E1451">
        <v>16</v>
      </c>
      <c r="F1451" s="3" t="s">
        <v>1677</v>
      </c>
    </row>
    <row r="1452" spans="1:10">
      <c r="A1452" s="1" t="s">
        <v>1848</v>
      </c>
      <c r="E1452">
        <v>16</v>
      </c>
    </row>
    <row r="1453" spans="1:10">
      <c r="A1453" s="1" t="s">
        <v>1849</v>
      </c>
      <c r="D1453" t="s">
        <v>1850</v>
      </c>
      <c r="E1453">
        <v>16</v>
      </c>
      <c r="F1453" s="26" t="s">
        <v>1493</v>
      </c>
      <c r="G1453" t="s">
        <v>1851</v>
      </c>
      <c r="I1453" s="99" t="s">
        <v>1852</v>
      </c>
      <c r="J1453" s="99"/>
    </row>
    <row r="1454" spans="1:10" ht="45">
      <c r="A1454" s="1" t="s">
        <v>1853</v>
      </c>
      <c r="E1454">
        <v>16</v>
      </c>
      <c r="F1454" s="26" t="s">
        <v>1319</v>
      </c>
      <c r="I1454" s="27" t="s">
        <v>1854</v>
      </c>
      <c r="J1454" s="27" t="s">
        <v>1855</v>
      </c>
    </row>
    <row r="1455" spans="1:10">
      <c r="A1455" s="1" t="s">
        <v>1856</v>
      </c>
      <c r="E1455">
        <v>16</v>
      </c>
      <c r="F1455" s="26" t="s">
        <v>1857</v>
      </c>
      <c r="I1455" t="s">
        <v>1858</v>
      </c>
      <c r="J1455" s="28">
        <v>0.1</v>
      </c>
    </row>
    <row r="1456" spans="1:10">
      <c r="A1456" s="1" t="s">
        <v>1859</v>
      </c>
      <c r="E1456">
        <v>16</v>
      </c>
      <c r="F1456" s="26" t="s">
        <v>1860</v>
      </c>
      <c r="I1456" t="s">
        <v>1861</v>
      </c>
      <c r="J1456" s="28">
        <v>0.2</v>
      </c>
    </row>
    <row r="1457" spans="1:10">
      <c r="A1457" s="1" t="s">
        <v>1862</v>
      </c>
      <c r="E1457">
        <v>16</v>
      </c>
      <c r="F1457" s="26" t="s">
        <v>1863</v>
      </c>
      <c r="I1457" t="s">
        <v>1864</v>
      </c>
      <c r="J1457" s="28">
        <v>0.3</v>
      </c>
    </row>
    <row r="1458" spans="1:10">
      <c r="A1458" s="1" t="s">
        <v>1865</v>
      </c>
      <c r="E1458">
        <v>16</v>
      </c>
      <c r="F1458" s="26" t="s">
        <v>1280</v>
      </c>
      <c r="I1458" t="s">
        <v>1866</v>
      </c>
      <c r="J1458" s="28">
        <v>0.45</v>
      </c>
    </row>
    <row r="1459" spans="1:10">
      <c r="A1459" s="1" t="s">
        <v>1867</v>
      </c>
      <c r="E1459">
        <v>16</v>
      </c>
      <c r="F1459" s="26" t="s">
        <v>1868</v>
      </c>
    </row>
    <row r="1460" spans="1:10">
      <c r="A1460" s="1" t="s">
        <v>1869</v>
      </c>
      <c r="E1460">
        <v>16</v>
      </c>
      <c r="F1460" s="26" t="s">
        <v>1296</v>
      </c>
      <c r="I1460" s="99" t="s">
        <v>1870</v>
      </c>
      <c r="J1460" s="99"/>
    </row>
    <row r="1461" spans="1:10" ht="45">
      <c r="A1461" s="1" t="s">
        <v>1871</v>
      </c>
      <c r="D1461" t="s">
        <v>1872</v>
      </c>
      <c r="E1461">
        <v>16</v>
      </c>
      <c r="F1461" s="3" t="s">
        <v>1857</v>
      </c>
      <c r="I1461" s="27" t="s">
        <v>1854</v>
      </c>
      <c r="J1461" s="27" t="s">
        <v>1855</v>
      </c>
    </row>
    <row r="1462" spans="1:10">
      <c r="A1462" s="1" t="s">
        <v>1873</v>
      </c>
      <c r="E1462">
        <v>16</v>
      </c>
      <c r="F1462" s="3" t="s">
        <v>1860</v>
      </c>
      <c r="I1462" t="s">
        <v>1858</v>
      </c>
      <c r="J1462" s="28">
        <v>0.2</v>
      </c>
    </row>
    <row r="1463" spans="1:10">
      <c r="A1463" s="1" t="s">
        <v>1874</v>
      </c>
      <c r="E1463">
        <v>16</v>
      </c>
      <c r="F1463" s="3" t="s">
        <v>1863</v>
      </c>
      <c r="I1463" t="s">
        <v>1861</v>
      </c>
      <c r="J1463" s="28">
        <v>0.3</v>
      </c>
    </row>
    <row r="1464" spans="1:10">
      <c r="A1464" s="1" t="s">
        <v>1875</v>
      </c>
      <c r="E1464">
        <v>16</v>
      </c>
      <c r="F1464" s="3" t="s">
        <v>1280</v>
      </c>
      <c r="I1464" t="s">
        <v>1864</v>
      </c>
      <c r="J1464" s="28">
        <v>0.45</v>
      </c>
    </row>
    <row r="1465" spans="1:10">
      <c r="A1465" s="1" t="s">
        <v>1876</v>
      </c>
      <c r="E1465">
        <v>16</v>
      </c>
      <c r="F1465" s="3" t="s">
        <v>1868</v>
      </c>
      <c r="I1465" t="s">
        <v>1866</v>
      </c>
      <c r="J1465" s="28">
        <v>0.55000000000000004</v>
      </c>
    </row>
    <row r="1466" spans="1:10">
      <c r="A1466" s="1" t="s">
        <v>1877</v>
      </c>
      <c r="E1466">
        <v>16</v>
      </c>
      <c r="F1466" s="3" t="s">
        <v>1296</v>
      </c>
    </row>
    <row r="1467" spans="1:10">
      <c r="A1467" s="1" t="s">
        <v>1878</v>
      </c>
      <c r="E1467">
        <v>16</v>
      </c>
      <c r="F1467" s="3" t="s">
        <v>1296</v>
      </c>
      <c r="I1467" s="99" t="s">
        <v>1879</v>
      </c>
      <c r="J1467" s="99"/>
    </row>
    <row r="1468" spans="1:10" ht="45">
      <c r="A1468" s="1" t="s">
        <v>1880</v>
      </c>
      <c r="E1468">
        <v>16</v>
      </c>
      <c r="F1468" s="3" t="s">
        <v>1868</v>
      </c>
      <c r="I1468" s="27" t="s">
        <v>1854</v>
      </c>
      <c r="J1468" s="27" t="s">
        <v>1855</v>
      </c>
    </row>
    <row r="1469" spans="1:10" ht="17.25">
      <c r="A1469" s="1" t="s">
        <v>1881</v>
      </c>
      <c r="D1469" t="s">
        <v>1882</v>
      </c>
      <c r="E1469">
        <v>16</v>
      </c>
      <c r="F1469" s="26" t="s">
        <v>1863</v>
      </c>
      <c r="I1469" t="s">
        <v>1858</v>
      </c>
      <c r="J1469" s="28">
        <v>0.3</v>
      </c>
    </row>
    <row r="1470" spans="1:10">
      <c r="A1470" s="1" t="s">
        <v>1883</v>
      </c>
      <c r="E1470">
        <v>16</v>
      </c>
      <c r="F1470" s="26" t="s">
        <v>1280</v>
      </c>
      <c r="I1470" t="s">
        <v>1861</v>
      </c>
      <c r="J1470" s="28">
        <v>0.45</v>
      </c>
    </row>
    <row r="1471" spans="1:10">
      <c r="A1471" s="1" t="s">
        <v>1884</v>
      </c>
      <c r="E1471">
        <v>16</v>
      </c>
      <c r="F1471" s="26" t="s">
        <v>1868</v>
      </c>
      <c r="I1471" t="s">
        <v>1864</v>
      </c>
      <c r="J1471" s="28">
        <v>0.55000000000000004</v>
      </c>
    </row>
    <row r="1472" spans="1:10">
      <c r="A1472" s="1" t="s">
        <v>1885</v>
      </c>
      <c r="E1472">
        <v>16</v>
      </c>
      <c r="F1472" s="26" t="s">
        <v>1296</v>
      </c>
      <c r="I1472" t="s">
        <v>1866</v>
      </c>
      <c r="J1472" s="28">
        <v>0.6</v>
      </c>
    </row>
    <row r="1473" spans="1:10">
      <c r="A1473" s="1" t="s">
        <v>1886</v>
      </c>
      <c r="E1473">
        <v>16</v>
      </c>
      <c r="F1473" s="26" t="s">
        <v>1296</v>
      </c>
    </row>
    <row r="1474" spans="1:10">
      <c r="A1474" s="1" t="s">
        <v>1887</v>
      </c>
      <c r="E1474">
        <v>16</v>
      </c>
      <c r="F1474" s="26" t="s">
        <v>1868</v>
      </c>
      <c r="I1474" s="99" t="s">
        <v>1888</v>
      </c>
      <c r="J1474" s="99"/>
    </row>
    <row r="1475" spans="1:10" ht="45">
      <c r="A1475" s="1" t="s">
        <v>1889</v>
      </c>
      <c r="E1475">
        <v>16</v>
      </c>
      <c r="F1475" s="26" t="s">
        <v>1293</v>
      </c>
      <c r="I1475" s="27" t="s">
        <v>1854</v>
      </c>
      <c r="J1475" s="27" t="s">
        <v>1855</v>
      </c>
    </row>
    <row r="1476" spans="1:10">
      <c r="A1476" s="1" t="s">
        <v>1890</v>
      </c>
      <c r="E1476">
        <v>16</v>
      </c>
      <c r="F1476" s="26" t="s">
        <v>1311</v>
      </c>
      <c r="I1476" t="s">
        <v>1858</v>
      </c>
      <c r="J1476" s="28">
        <v>0.45</v>
      </c>
    </row>
    <row r="1477" spans="1:10">
      <c r="A1477" s="1" t="s">
        <v>1891</v>
      </c>
      <c r="D1477" t="s">
        <v>1892</v>
      </c>
      <c r="E1477">
        <v>16</v>
      </c>
      <c r="F1477" s="3" t="s">
        <v>1868</v>
      </c>
      <c r="I1477" t="s">
        <v>1861</v>
      </c>
      <c r="J1477" s="28">
        <v>0.55000000000000004</v>
      </c>
    </row>
    <row r="1478" spans="1:10">
      <c r="A1478" s="1" t="s">
        <v>1893</v>
      </c>
      <c r="E1478">
        <v>16</v>
      </c>
      <c r="F1478" s="3" t="s">
        <v>1296</v>
      </c>
      <c r="I1478" t="s">
        <v>1864</v>
      </c>
      <c r="J1478" s="28">
        <v>0.6</v>
      </c>
    </row>
    <row r="1479" spans="1:10">
      <c r="A1479" s="1" t="s">
        <v>1894</v>
      </c>
      <c r="E1479">
        <v>16</v>
      </c>
      <c r="F1479" s="3" t="s">
        <v>1296</v>
      </c>
      <c r="I1479" t="s">
        <v>1866</v>
      </c>
      <c r="J1479" s="28">
        <v>0.8</v>
      </c>
    </row>
    <row r="1480" spans="1:10">
      <c r="A1480" s="1" t="s">
        <v>1895</v>
      </c>
      <c r="E1480">
        <v>16</v>
      </c>
      <c r="F1480" s="3" t="s">
        <v>1868</v>
      </c>
    </row>
    <row r="1481" spans="1:10">
      <c r="A1481" s="1" t="s">
        <v>1896</v>
      </c>
      <c r="E1481">
        <v>16</v>
      </c>
      <c r="F1481" s="3" t="s">
        <v>1293</v>
      </c>
    </row>
    <row r="1482" spans="1:10">
      <c r="A1482" s="1" t="s">
        <v>1897</v>
      </c>
      <c r="E1482">
        <v>16</v>
      </c>
      <c r="F1482" s="3" t="s">
        <v>1311</v>
      </c>
    </row>
    <row r="1483" spans="1:10">
      <c r="A1483" s="1" t="s">
        <v>1898</v>
      </c>
      <c r="E1483">
        <v>16</v>
      </c>
      <c r="F1483" s="3" t="s">
        <v>1388</v>
      </c>
    </row>
    <row r="1484" spans="1:10">
      <c r="A1484" s="1" t="s">
        <v>1899</v>
      </c>
      <c r="E1484">
        <v>16</v>
      </c>
      <c r="F1484" s="3" t="s">
        <v>1857</v>
      </c>
    </row>
    <row r="1485" spans="1:10">
      <c r="A1485" s="1" t="s">
        <v>1900</v>
      </c>
      <c r="D1485" t="s">
        <v>1901</v>
      </c>
      <c r="E1485">
        <v>16</v>
      </c>
      <c r="F1485" s="11" t="s">
        <v>1493</v>
      </c>
    </row>
    <row r="1486" spans="1:10">
      <c r="A1486" t="s">
        <v>1902</v>
      </c>
      <c r="B1486"/>
      <c r="C1486"/>
      <c r="E1486">
        <v>16</v>
      </c>
      <c r="F1486" s="11" t="s">
        <v>1319</v>
      </c>
    </row>
    <row r="1487" spans="1:10">
      <c r="A1487" s="1" t="s">
        <v>1903</v>
      </c>
      <c r="E1487">
        <v>16</v>
      </c>
      <c r="F1487" s="11" t="s">
        <v>1863</v>
      </c>
    </row>
    <row r="1488" spans="1:10">
      <c r="A1488" s="1" t="s">
        <v>1904</v>
      </c>
      <c r="E1488">
        <v>16</v>
      </c>
      <c r="F1488" s="11" t="s">
        <v>1280</v>
      </c>
    </row>
    <row r="1489" spans="1:6">
      <c r="A1489" s="1" t="s">
        <v>1905</v>
      </c>
      <c r="E1489">
        <v>16</v>
      </c>
      <c r="F1489" s="11" t="s">
        <v>1457</v>
      </c>
    </row>
    <row r="1490" spans="1:6">
      <c r="A1490" s="1" t="s">
        <v>1906</v>
      </c>
      <c r="E1490">
        <v>16</v>
      </c>
      <c r="F1490" s="11" t="s">
        <v>1457</v>
      </c>
    </row>
    <row r="1491" spans="1:6">
      <c r="A1491" s="1" t="s">
        <v>1907</v>
      </c>
      <c r="E1491">
        <v>16</v>
      </c>
      <c r="F1491" s="11" t="s">
        <v>1286</v>
      </c>
    </row>
    <row r="1492" spans="1:6">
      <c r="A1492" s="1" t="s">
        <v>1908</v>
      </c>
      <c r="E1492">
        <v>16</v>
      </c>
      <c r="F1492" s="11" t="s">
        <v>1909</v>
      </c>
    </row>
    <row r="1493" spans="1:6">
      <c r="A1493" s="1" t="s">
        <v>1910</v>
      </c>
      <c r="D1493" t="s">
        <v>1911</v>
      </c>
      <c r="E1493">
        <v>16</v>
      </c>
      <c r="F1493" s="3" t="s">
        <v>1280</v>
      </c>
    </row>
    <row r="1494" spans="1:6">
      <c r="A1494" s="1" t="s">
        <v>1912</v>
      </c>
      <c r="D1494" t="s">
        <v>1913</v>
      </c>
      <c r="E1494">
        <v>16</v>
      </c>
      <c r="F1494" s="3" t="s">
        <v>1863</v>
      </c>
    </row>
    <row r="1495" spans="1:6">
      <c r="A1495" s="1" t="s">
        <v>1914</v>
      </c>
      <c r="E1495">
        <v>16</v>
      </c>
      <c r="F1495" s="3" t="s">
        <v>1493</v>
      </c>
    </row>
    <row r="1496" spans="1:6">
      <c r="A1496" s="1" t="s">
        <v>1915</v>
      </c>
      <c r="E1496">
        <v>16</v>
      </c>
    </row>
    <row r="1497" spans="1:6">
      <c r="A1497" s="1" t="s">
        <v>1916</v>
      </c>
      <c r="E1497">
        <v>16</v>
      </c>
    </row>
    <row r="1498" spans="1:6">
      <c r="A1498" s="1" t="s">
        <v>1917</v>
      </c>
      <c r="E1498">
        <v>16</v>
      </c>
    </row>
    <row r="1499" spans="1:6">
      <c r="A1499" s="1" t="s">
        <v>1918</v>
      </c>
      <c r="E1499">
        <v>16</v>
      </c>
    </row>
    <row r="1500" spans="1:6">
      <c r="A1500" s="1" t="s">
        <v>1919</v>
      </c>
      <c r="E1500">
        <v>16</v>
      </c>
    </row>
    <row r="1501" spans="1:6">
      <c r="A1501" s="1" t="s">
        <v>1920</v>
      </c>
      <c r="E1501">
        <v>16</v>
      </c>
    </row>
    <row r="1502" spans="1:6">
      <c r="A1502" s="1" t="s">
        <v>1921</v>
      </c>
      <c r="E1502">
        <v>16</v>
      </c>
    </row>
    <row r="1503" spans="1:6">
      <c r="A1503" s="1" t="s">
        <v>1922</v>
      </c>
      <c r="E1503">
        <v>16</v>
      </c>
    </row>
    <row r="1504" spans="1:6">
      <c r="A1504" s="1" t="s">
        <v>1923</v>
      </c>
      <c r="E1504">
        <v>16</v>
      </c>
    </row>
    <row r="1505" spans="1:7">
      <c r="A1505" s="1" t="s">
        <v>1924</v>
      </c>
      <c r="E1505">
        <v>16</v>
      </c>
    </row>
    <row r="1506" spans="1:7">
      <c r="A1506" s="1" t="s">
        <v>1925</v>
      </c>
      <c r="E1506">
        <v>16</v>
      </c>
    </row>
    <row r="1507" spans="1:7">
      <c r="A1507" s="1" t="s">
        <v>1926</v>
      </c>
      <c r="E1507">
        <v>16</v>
      </c>
    </row>
    <row r="1508" spans="1:7">
      <c r="A1508" s="1" t="s">
        <v>1927</v>
      </c>
      <c r="E1508">
        <v>16</v>
      </c>
    </row>
    <row r="1509" spans="1:7">
      <c r="A1509" s="1" t="s">
        <v>1928</v>
      </c>
      <c r="E1509">
        <v>16</v>
      </c>
    </row>
    <row r="1510" spans="1:7">
      <c r="A1510" s="1" t="s">
        <v>1929</v>
      </c>
      <c r="E1510">
        <v>16</v>
      </c>
    </row>
    <row r="1511" spans="1:7">
      <c r="A1511" s="1" t="s">
        <v>1930</v>
      </c>
      <c r="E1511">
        <v>16</v>
      </c>
    </row>
    <row r="1512" spans="1:7">
      <c r="A1512" s="1" t="s">
        <v>1931</v>
      </c>
      <c r="E1512">
        <v>16</v>
      </c>
    </row>
    <row r="1513" spans="1:7">
      <c r="A1513" s="1" t="s">
        <v>1932</v>
      </c>
      <c r="D1513" t="s">
        <v>1933</v>
      </c>
      <c r="E1513">
        <v>16</v>
      </c>
      <c r="F1513" s="3" t="s">
        <v>1280</v>
      </c>
    </row>
    <row r="1514" spans="1:7">
      <c r="A1514" s="1" t="s">
        <v>1934</v>
      </c>
      <c r="E1514">
        <v>16</v>
      </c>
      <c r="F1514" s="3" t="s">
        <v>1863</v>
      </c>
    </row>
    <row r="1518" spans="1:7">
      <c r="A1518" s="1" t="s">
        <v>1935</v>
      </c>
      <c r="D1518" s="18" t="s">
        <v>1936</v>
      </c>
      <c r="E1518">
        <v>16</v>
      </c>
      <c r="F1518" s="3">
        <v>1</v>
      </c>
      <c r="G1518" t="s">
        <v>1937</v>
      </c>
    </row>
    <row r="1519" spans="1:7">
      <c r="A1519" s="1" t="s">
        <v>1938</v>
      </c>
      <c r="D1519" t="s">
        <v>1939</v>
      </c>
      <c r="E1519">
        <v>16</v>
      </c>
      <c r="F1519" s="3">
        <v>2</v>
      </c>
      <c r="G1519" t="s">
        <v>1940</v>
      </c>
    </row>
    <row r="1520" spans="1:7">
      <c r="A1520" s="1" t="s">
        <v>1941</v>
      </c>
      <c r="D1520" t="s">
        <v>1942</v>
      </c>
      <c r="E1520">
        <v>16</v>
      </c>
      <c r="F1520" s="3">
        <v>3</v>
      </c>
      <c r="G1520" t="s">
        <v>1943</v>
      </c>
    </row>
    <row r="1521" spans="1:7">
      <c r="A1521" s="1" t="s">
        <v>1944</v>
      </c>
      <c r="D1521" t="s">
        <v>1945</v>
      </c>
      <c r="E1521">
        <v>16</v>
      </c>
      <c r="F1521" s="3">
        <v>4</v>
      </c>
      <c r="G1521" t="s">
        <v>1946</v>
      </c>
    </row>
    <row r="1522" spans="1:7">
      <c r="A1522" s="1" t="s">
        <v>1947</v>
      </c>
      <c r="D1522" t="s">
        <v>1948</v>
      </c>
      <c r="E1522">
        <v>16</v>
      </c>
      <c r="F1522" s="3">
        <v>5</v>
      </c>
      <c r="G1522" t="s">
        <v>1949</v>
      </c>
    </row>
    <row r="1523" spans="1:7">
      <c r="A1523" s="1" t="s">
        <v>1950</v>
      </c>
      <c r="D1523" t="s">
        <v>1951</v>
      </c>
      <c r="E1523">
        <v>16</v>
      </c>
      <c r="F1523" s="3" t="s">
        <v>1952</v>
      </c>
      <c r="G1523" t="s">
        <v>1953</v>
      </c>
    </row>
    <row r="1524" spans="1:7">
      <c r="A1524" s="1" t="s">
        <v>1954</v>
      </c>
      <c r="D1524" t="s">
        <v>1955</v>
      </c>
      <c r="E1524">
        <v>16</v>
      </c>
      <c r="F1524" s="3" t="s">
        <v>1956</v>
      </c>
      <c r="G1524" t="s">
        <v>1957</v>
      </c>
    </row>
    <row r="1525" spans="1:7">
      <c r="A1525" s="1" t="s">
        <v>1958</v>
      </c>
      <c r="D1525" t="s">
        <v>1959</v>
      </c>
      <c r="E1525">
        <v>16</v>
      </c>
      <c r="F1525" s="3">
        <v>14</v>
      </c>
      <c r="G1525" t="s">
        <v>1960</v>
      </c>
    </row>
    <row r="1526" spans="1:7">
      <c r="A1526" s="1" t="s">
        <v>1961</v>
      </c>
      <c r="D1526" t="s">
        <v>1962</v>
      </c>
      <c r="E1526">
        <v>16</v>
      </c>
      <c r="F1526" s="3">
        <v>19</v>
      </c>
      <c r="G1526" t="s">
        <v>1963</v>
      </c>
    </row>
    <row r="1527" spans="1:7">
      <c r="A1527" s="1" t="s">
        <v>1964</v>
      </c>
      <c r="D1527" t="s">
        <v>1965</v>
      </c>
      <c r="E1527">
        <v>16</v>
      </c>
      <c r="F1527" s="3" t="s">
        <v>1966</v>
      </c>
      <c r="G1527" t="s">
        <v>1967</v>
      </c>
    </row>
    <row r="1528" spans="1:7">
      <c r="A1528" s="1" t="s">
        <v>1968</v>
      </c>
      <c r="D1528" t="s">
        <v>1969</v>
      </c>
      <c r="E1528">
        <v>16</v>
      </c>
      <c r="F1528" s="3">
        <v>23</v>
      </c>
      <c r="G1528" t="s">
        <v>1970</v>
      </c>
    </row>
    <row r="1529" spans="1:7">
      <c r="A1529" s="1" t="s">
        <v>1971</v>
      </c>
      <c r="D1529" t="s">
        <v>1972</v>
      </c>
      <c r="E1529">
        <v>16</v>
      </c>
      <c r="F1529" s="3">
        <v>28</v>
      </c>
      <c r="G1529" t="s">
        <v>1973</v>
      </c>
    </row>
    <row r="1530" spans="1:7">
      <c r="A1530" s="1" t="s">
        <v>1974</v>
      </c>
      <c r="D1530" t="s">
        <v>1975</v>
      </c>
      <c r="E1530">
        <v>16</v>
      </c>
      <c r="F1530" s="3" t="s">
        <v>1976</v>
      </c>
      <c r="G1530" t="s">
        <v>1977</v>
      </c>
    </row>
    <row r="1531" spans="1:7">
      <c r="A1531" s="1" t="s">
        <v>1978</v>
      </c>
      <c r="D1531" t="s">
        <v>1979</v>
      </c>
      <c r="E1531">
        <v>16</v>
      </c>
      <c r="F1531" s="3">
        <v>32</v>
      </c>
      <c r="G1531" t="s">
        <v>1980</v>
      </c>
    </row>
    <row r="1532" spans="1:7">
      <c r="A1532" s="1" t="s">
        <v>1981</v>
      </c>
      <c r="D1532" t="s">
        <v>1982</v>
      </c>
      <c r="E1532">
        <v>16</v>
      </c>
      <c r="F1532" s="3">
        <v>37</v>
      </c>
      <c r="G1532" t="s">
        <v>1983</v>
      </c>
    </row>
    <row r="1533" spans="1:7">
      <c r="A1533" s="1" t="s">
        <v>1984</v>
      </c>
      <c r="D1533" t="s">
        <v>1985</v>
      </c>
      <c r="E1533">
        <v>16</v>
      </c>
      <c r="F1533" s="3" t="s">
        <v>1986</v>
      </c>
      <c r="G1533" t="s">
        <v>1987</v>
      </c>
    </row>
    <row r="1534" spans="1:7">
      <c r="A1534" s="1" t="s">
        <v>1988</v>
      </c>
      <c r="D1534" t="s">
        <v>1989</v>
      </c>
      <c r="E1534">
        <v>16</v>
      </c>
      <c r="F1534" s="3">
        <v>49</v>
      </c>
      <c r="G1534" t="s">
        <v>1990</v>
      </c>
    </row>
    <row r="1535" spans="1:7">
      <c r="A1535" s="1" t="s">
        <v>1991</v>
      </c>
      <c r="D1535" t="s">
        <v>1992</v>
      </c>
      <c r="E1535">
        <v>16</v>
      </c>
      <c r="F1535" s="3" t="s">
        <v>1993</v>
      </c>
      <c r="G1535" t="s">
        <v>1994</v>
      </c>
    </row>
    <row r="1536" spans="1:7">
      <c r="A1536" s="1" t="s">
        <v>1995</v>
      </c>
      <c r="D1536" t="s">
        <v>1996</v>
      </c>
      <c r="E1536">
        <v>16</v>
      </c>
      <c r="F1536" s="3" t="s">
        <v>1997</v>
      </c>
      <c r="G1536" t="s">
        <v>1998</v>
      </c>
    </row>
    <row r="1537" spans="1:7">
      <c r="A1537" s="1" t="s">
        <v>1999</v>
      </c>
      <c r="D1537" t="s">
        <v>2000</v>
      </c>
      <c r="E1537">
        <v>16</v>
      </c>
      <c r="F1537" s="3" t="s">
        <v>2001</v>
      </c>
      <c r="G1537" t="s">
        <v>2002</v>
      </c>
    </row>
    <row r="1538" spans="1:7">
      <c r="A1538" s="1" t="s">
        <v>2003</v>
      </c>
      <c r="D1538" t="s">
        <v>2004</v>
      </c>
      <c r="E1538">
        <v>16</v>
      </c>
      <c r="F1538" s="3" t="s">
        <v>2005</v>
      </c>
      <c r="G1538" t="s">
        <v>2006</v>
      </c>
    </row>
    <row r="1539" spans="1:7">
      <c r="A1539" s="1" t="s">
        <v>2007</v>
      </c>
      <c r="D1539" t="s">
        <v>2008</v>
      </c>
      <c r="E1539">
        <v>16</v>
      </c>
      <c r="F1539" s="3" t="s">
        <v>2009</v>
      </c>
      <c r="G1539" t="s">
        <v>2010</v>
      </c>
    </row>
    <row r="1540" spans="1:7">
      <c r="A1540" s="1" t="s">
        <v>2011</v>
      </c>
      <c r="D1540" t="s">
        <v>2012</v>
      </c>
      <c r="E1540">
        <v>16</v>
      </c>
      <c r="F1540" s="3" t="s">
        <v>2013</v>
      </c>
      <c r="G1540" t="s">
        <v>2014</v>
      </c>
    </row>
    <row r="1541" spans="1:7">
      <c r="A1541" s="1" t="s">
        <v>2015</v>
      </c>
      <c r="D1541" t="s">
        <v>2016</v>
      </c>
      <c r="E1541">
        <v>16</v>
      </c>
      <c r="F1541" s="3">
        <v>50</v>
      </c>
      <c r="G1541" t="s">
        <v>2017</v>
      </c>
    </row>
    <row r="1542" spans="1:7">
      <c r="A1542" s="1" t="s">
        <v>2018</v>
      </c>
      <c r="D1542" t="s">
        <v>2019</v>
      </c>
      <c r="E1542">
        <v>16</v>
      </c>
      <c r="F1542" s="3" t="s">
        <v>2020</v>
      </c>
      <c r="G1542" t="s">
        <v>2021</v>
      </c>
    </row>
    <row r="1543" spans="1:7">
      <c r="A1543" s="1" t="s">
        <v>2022</v>
      </c>
      <c r="D1543" t="s">
        <v>2023</v>
      </c>
      <c r="E1543">
        <v>16</v>
      </c>
      <c r="F1543" s="3">
        <v>71</v>
      </c>
      <c r="G1543" t="s">
        <v>2024</v>
      </c>
    </row>
    <row r="1544" spans="1:7">
      <c r="A1544" s="1" t="s">
        <v>2025</v>
      </c>
      <c r="D1544" t="s">
        <v>2026</v>
      </c>
      <c r="E1544">
        <v>16</v>
      </c>
      <c r="F1544" s="3">
        <v>76</v>
      </c>
      <c r="G1544" t="s">
        <v>2027</v>
      </c>
    </row>
    <row r="1545" spans="1:7">
      <c r="A1545" s="1" t="s">
        <v>2028</v>
      </c>
      <c r="D1545" t="s">
        <v>2029</v>
      </c>
      <c r="E1545">
        <v>16</v>
      </c>
      <c r="F1545" s="3" t="s">
        <v>2030</v>
      </c>
      <c r="G1545" t="s">
        <v>2031</v>
      </c>
    </row>
    <row r="1546" spans="1:7">
      <c r="A1546" s="1" t="s">
        <v>2032</v>
      </c>
      <c r="D1546" t="s">
        <v>2033</v>
      </c>
      <c r="E1546">
        <v>16</v>
      </c>
      <c r="F1546" s="3">
        <v>82</v>
      </c>
      <c r="G1546" t="s">
        <v>2034</v>
      </c>
    </row>
    <row r="1547" spans="1:7">
      <c r="A1547" s="1" t="s">
        <v>2035</v>
      </c>
      <c r="D1547" t="s">
        <v>2036</v>
      </c>
      <c r="E1547">
        <v>16</v>
      </c>
      <c r="F1547" s="3">
        <v>84</v>
      </c>
      <c r="G1547" t="s">
        <v>2037</v>
      </c>
    </row>
    <row r="1548" spans="1:7">
      <c r="A1548" s="1" t="s">
        <v>2038</v>
      </c>
      <c r="D1548" t="s">
        <v>2039</v>
      </c>
      <c r="E1548">
        <v>16</v>
      </c>
      <c r="F1548" s="3">
        <v>86</v>
      </c>
      <c r="G1548" t="s">
        <v>2040</v>
      </c>
    </row>
    <row r="1549" spans="1:7">
      <c r="A1549" s="1" t="s">
        <v>2041</v>
      </c>
      <c r="D1549" t="s">
        <v>2042</v>
      </c>
      <c r="E1549">
        <v>16</v>
      </c>
      <c r="F1549" s="3">
        <v>88</v>
      </c>
      <c r="G1549" t="s">
        <v>2043</v>
      </c>
    </row>
    <row r="1551" spans="1:7">
      <c r="A1551" s="1" t="s">
        <v>2044</v>
      </c>
      <c r="D1551" t="s">
        <v>2045</v>
      </c>
      <c r="E1551">
        <v>16</v>
      </c>
    </row>
    <row r="1557" spans="1:6">
      <c r="A1557" s="1" t="s">
        <v>2046</v>
      </c>
      <c r="D1557" t="s">
        <v>2047</v>
      </c>
      <c r="E1557">
        <v>32</v>
      </c>
      <c r="F1557" s="3" t="s">
        <v>2048</v>
      </c>
    </row>
    <row r="1558" spans="1:6">
      <c r="A1558" s="1" t="s">
        <v>2049</v>
      </c>
      <c r="D1558" t="s">
        <v>2047</v>
      </c>
      <c r="E1558">
        <v>32</v>
      </c>
      <c r="F1558" s="3" t="s">
        <v>2050</v>
      </c>
    </row>
    <row r="1559" spans="1:6">
      <c r="A1559" s="1" t="s">
        <v>2051</v>
      </c>
      <c r="D1559" t="s">
        <v>2047</v>
      </c>
      <c r="E1559">
        <v>32</v>
      </c>
    </row>
    <row r="1560" spans="1:6">
      <c r="A1560" s="1" t="s">
        <v>2052</v>
      </c>
      <c r="D1560" t="s">
        <v>2047</v>
      </c>
      <c r="E1560">
        <v>32</v>
      </c>
    </row>
    <row r="1562" spans="1:6">
      <c r="A1562" s="1" t="s">
        <v>2053</v>
      </c>
      <c r="D1562" t="s">
        <v>2054</v>
      </c>
      <c r="E1562">
        <v>32</v>
      </c>
      <c r="F1562" s="3" t="s">
        <v>2055</v>
      </c>
    </row>
    <row r="1563" spans="1:6">
      <c r="A1563" s="1" t="s">
        <v>2056</v>
      </c>
      <c r="D1563" t="s">
        <v>2057</v>
      </c>
      <c r="E1563">
        <v>32</v>
      </c>
      <c r="F1563" s="3" t="s">
        <v>2055</v>
      </c>
    </row>
    <row r="1564" spans="1:6">
      <c r="A1564" s="1" t="s">
        <v>2058</v>
      </c>
      <c r="E1564">
        <v>32</v>
      </c>
    </row>
    <row r="1565" spans="1:6">
      <c r="A1565" s="1" t="s">
        <v>2059</v>
      </c>
      <c r="E1565">
        <v>32</v>
      </c>
      <c r="F1565" s="3" t="s">
        <v>2060</v>
      </c>
    </row>
    <row r="1567" spans="1:6">
      <c r="A1567" s="1" t="s">
        <v>2061</v>
      </c>
      <c r="D1567" t="s">
        <v>2062</v>
      </c>
      <c r="E1567">
        <v>32</v>
      </c>
      <c r="F1567" s="3" t="s">
        <v>2060</v>
      </c>
    </row>
    <row r="1569" spans="1:10">
      <c r="A1569" s="1" t="s">
        <v>2063</v>
      </c>
      <c r="D1569" t="s">
        <v>2064</v>
      </c>
      <c r="E1569">
        <v>32</v>
      </c>
      <c r="F1569" s="3" t="s">
        <v>2060</v>
      </c>
    </row>
    <row r="1571" spans="1:10">
      <c r="A1571" s="1" t="s">
        <v>2065</v>
      </c>
      <c r="D1571" t="s">
        <v>2066</v>
      </c>
      <c r="E1571">
        <v>16</v>
      </c>
    </row>
    <row r="1575" spans="1:10">
      <c r="A1575" s="1">
        <v>154410</v>
      </c>
      <c r="D1575" t="s">
        <v>2067</v>
      </c>
      <c r="E1575">
        <v>32</v>
      </c>
      <c r="F1575" s="3" t="s">
        <v>2068</v>
      </c>
      <c r="H1575" t="s">
        <v>2069</v>
      </c>
      <c r="I1575">
        <v>4.9000000000000004</v>
      </c>
      <c r="J1575" t="s">
        <v>2070</v>
      </c>
    </row>
    <row r="1576" spans="1:10">
      <c r="A1576" s="1">
        <v>154414</v>
      </c>
      <c r="D1576" t="s">
        <v>2071</v>
      </c>
      <c r="E1576">
        <v>32</v>
      </c>
      <c r="F1576" s="3" t="s">
        <v>2072</v>
      </c>
      <c r="I1576">
        <v>4</v>
      </c>
      <c r="J1576">
        <v>40800000</v>
      </c>
    </row>
    <row r="1577" spans="1:10">
      <c r="A1577" s="1">
        <v>154418</v>
      </c>
      <c r="D1577" t="s">
        <v>2073</v>
      </c>
      <c r="E1577">
        <v>32</v>
      </c>
      <c r="F1577" s="3" t="s">
        <v>2074</v>
      </c>
      <c r="H1577">
        <v>5.85</v>
      </c>
      <c r="J1577" t="s">
        <v>2075</v>
      </c>
    </row>
    <row r="1578" spans="1:10">
      <c r="A1578" s="1" t="s">
        <v>2076</v>
      </c>
      <c r="D1578" t="s">
        <v>2077</v>
      </c>
      <c r="E1578">
        <v>32</v>
      </c>
      <c r="F1578" s="3" t="s">
        <v>2078</v>
      </c>
      <c r="H1578">
        <v>4.4000000000000004</v>
      </c>
      <c r="J1578" t="s">
        <v>2079</v>
      </c>
    </row>
    <row r="1579" spans="1:10">
      <c r="A1579" s="1">
        <v>154420</v>
      </c>
      <c r="D1579" t="s">
        <v>2080</v>
      </c>
      <c r="E1579">
        <v>32</v>
      </c>
      <c r="F1579" s="3" t="s">
        <v>2081</v>
      </c>
      <c r="H1579">
        <v>6.8250000000000002</v>
      </c>
      <c r="J1579" t="s">
        <v>2082</v>
      </c>
    </row>
    <row r="1580" spans="1:10">
      <c r="A1580" s="1">
        <v>154424</v>
      </c>
      <c r="D1580" t="s">
        <v>2083</v>
      </c>
      <c r="E1580">
        <v>32</v>
      </c>
      <c r="F1580" s="3" t="s">
        <v>2084</v>
      </c>
      <c r="H1580">
        <v>4.8</v>
      </c>
      <c r="J1580" t="s">
        <v>2085</v>
      </c>
    </row>
    <row r="1581" spans="1:10">
      <c r="A1581" s="1">
        <v>154428</v>
      </c>
      <c r="D1581" t="s">
        <v>2086</v>
      </c>
      <c r="E1581">
        <v>32</v>
      </c>
      <c r="F1581" s="3" t="s">
        <v>2087</v>
      </c>
      <c r="H1581">
        <v>7.8</v>
      </c>
      <c r="J1581" t="s">
        <v>2088</v>
      </c>
    </row>
    <row r="1582" spans="1:10">
      <c r="A1582" s="1" t="s">
        <v>2089</v>
      </c>
      <c r="D1582" t="s">
        <v>2090</v>
      </c>
      <c r="E1582">
        <v>32</v>
      </c>
      <c r="F1582" s="3" t="s">
        <v>2091</v>
      </c>
      <c r="H1582">
        <v>5.2</v>
      </c>
      <c r="J1582" t="s">
        <v>2092</v>
      </c>
    </row>
    <row r="1584" spans="1:10">
      <c r="A1584" s="1" t="s">
        <v>2093</v>
      </c>
      <c r="D1584" t="s">
        <v>2094</v>
      </c>
      <c r="E1584">
        <v>16</v>
      </c>
      <c r="F1584" s="5">
        <v>8000</v>
      </c>
    </row>
    <row r="1585" spans="1:6">
      <c r="A1585" s="1" t="s">
        <v>2095</v>
      </c>
      <c r="D1585" s="18" t="s">
        <v>2096</v>
      </c>
      <c r="E1585">
        <v>16</v>
      </c>
      <c r="F1585" s="5">
        <v>4000</v>
      </c>
    </row>
    <row r="1586" spans="1:6">
      <c r="A1586" s="1" t="s">
        <v>2097</v>
      </c>
      <c r="D1586" s="18" t="s">
        <v>2098</v>
      </c>
      <c r="E1586">
        <v>16</v>
      </c>
      <c r="F1586" s="5" t="s">
        <v>2099</v>
      </c>
    </row>
    <row r="1587" spans="1:6">
      <c r="A1587" s="1" t="s">
        <v>2100</v>
      </c>
      <c r="D1587" s="18" t="s">
        <v>2101</v>
      </c>
      <c r="E1587">
        <v>16</v>
      </c>
      <c r="F1587" s="5" t="s">
        <v>2102</v>
      </c>
    </row>
    <row r="1588" spans="1:6">
      <c r="A1588" s="1" t="s">
        <v>2103</v>
      </c>
      <c r="D1588" s="18" t="s">
        <v>2104</v>
      </c>
      <c r="E1588">
        <v>16</v>
      </c>
      <c r="F1588" s="5" t="s">
        <v>2105</v>
      </c>
    </row>
    <row r="1589" spans="1:6">
      <c r="A1589" s="1" t="s">
        <v>2106</v>
      </c>
      <c r="D1589" s="18" t="s">
        <v>2107</v>
      </c>
      <c r="E1589">
        <v>16</v>
      </c>
      <c r="F1589" s="5" t="s">
        <v>2108</v>
      </c>
    </row>
    <row r="1590" spans="1:6">
      <c r="A1590" s="1" t="s">
        <v>2109</v>
      </c>
      <c r="D1590" s="18" t="s">
        <v>2110</v>
      </c>
      <c r="E1590">
        <v>16</v>
      </c>
      <c r="F1590" s="5" t="s">
        <v>2111</v>
      </c>
    </row>
    <row r="1591" spans="1:6">
      <c r="A1591" s="1" t="s">
        <v>2112</v>
      </c>
      <c r="D1591" s="18" t="s">
        <v>2113</v>
      </c>
      <c r="E1591">
        <v>16</v>
      </c>
      <c r="F1591" s="5" t="s">
        <v>2114</v>
      </c>
    </row>
    <row r="1592" spans="1:6">
      <c r="A1592" s="1" t="s">
        <v>2115</v>
      </c>
      <c r="D1592" t="s">
        <v>2116</v>
      </c>
      <c r="E1592">
        <v>16</v>
      </c>
      <c r="F1592" s="3">
        <v>2000</v>
      </c>
    </row>
    <row r="1595" spans="1:6">
      <c r="A1595" s="1" t="s">
        <v>2117</v>
      </c>
      <c r="D1595" t="s">
        <v>2118</v>
      </c>
      <c r="E1595">
        <v>16</v>
      </c>
      <c r="F1595" s="3" t="s">
        <v>2119</v>
      </c>
    </row>
    <row r="1596" spans="1:6">
      <c r="A1596" s="1" t="s">
        <v>2120</v>
      </c>
      <c r="D1596" t="s">
        <v>2121</v>
      </c>
      <c r="E1596">
        <v>16</v>
      </c>
      <c r="F1596" s="3" t="s">
        <v>2122</v>
      </c>
    </row>
    <row r="1597" spans="1:6">
      <c r="A1597" s="1" t="s">
        <v>2123</v>
      </c>
      <c r="D1597" t="s">
        <v>2124</v>
      </c>
      <c r="E1597">
        <v>16</v>
      </c>
      <c r="F1597" s="3" t="s">
        <v>2125</v>
      </c>
    </row>
    <row r="1598" spans="1:6">
      <c r="A1598" s="1" t="s">
        <v>2126</v>
      </c>
      <c r="D1598" t="s">
        <v>2127</v>
      </c>
      <c r="E1598">
        <v>16</v>
      </c>
      <c r="F1598" s="3" t="s">
        <v>2128</v>
      </c>
    </row>
    <row r="1599" spans="1:6">
      <c r="A1599" s="1" t="s">
        <v>2129</v>
      </c>
      <c r="D1599" t="s">
        <v>2130</v>
      </c>
      <c r="E1599">
        <v>16</v>
      </c>
      <c r="F1599" s="3" t="s">
        <v>2131</v>
      </c>
    </row>
    <row r="1600" spans="1:6">
      <c r="A1600" s="1" t="s">
        <v>2132</v>
      </c>
      <c r="D1600" t="s">
        <v>2133</v>
      </c>
      <c r="E1600">
        <v>16</v>
      </c>
      <c r="F1600" s="3" t="s">
        <v>2134</v>
      </c>
    </row>
    <row r="1601" spans="1:7">
      <c r="A1601" s="1" t="s">
        <v>2135</v>
      </c>
      <c r="D1601" t="s">
        <v>2136</v>
      </c>
      <c r="E1601">
        <v>16</v>
      </c>
      <c r="F1601" s="3" t="s">
        <v>2137</v>
      </c>
    </row>
    <row r="1602" spans="1:7">
      <c r="A1602" s="1" t="s">
        <v>2138</v>
      </c>
      <c r="D1602" t="s">
        <v>2139</v>
      </c>
      <c r="E1602">
        <v>16</v>
      </c>
      <c r="F1602" s="3" t="s">
        <v>2140</v>
      </c>
    </row>
    <row r="1604" spans="1:7">
      <c r="A1604" s="1">
        <v>154504</v>
      </c>
      <c r="D1604" t="s">
        <v>2141</v>
      </c>
      <c r="E1604">
        <v>16</v>
      </c>
      <c r="F1604" s="3" t="s">
        <v>2142</v>
      </c>
      <c r="G1604" t="s">
        <v>2143</v>
      </c>
    </row>
    <row r="1605" spans="1:7">
      <c r="A1605" s="1">
        <v>154506</v>
      </c>
      <c r="D1605" t="s">
        <v>2144</v>
      </c>
      <c r="E1605">
        <v>16</v>
      </c>
      <c r="F1605" s="3" t="s">
        <v>2145</v>
      </c>
      <c r="G1605" t="s">
        <v>2146</v>
      </c>
    </row>
    <row r="1606" spans="1:7">
      <c r="A1606" s="1">
        <v>154508</v>
      </c>
      <c r="D1606" t="s">
        <v>2147</v>
      </c>
      <c r="E1606">
        <v>16</v>
      </c>
      <c r="F1606" s="3" t="s">
        <v>2148</v>
      </c>
      <c r="G1606" t="s">
        <v>2149</v>
      </c>
    </row>
    <row r="1607" spans="1:7">
      <c r="A1607" s="1" t="s">
        <v>2150</v>
      </c>
      <c r="D1607" t="s">
        <v>2151</v>
      </c>
      <c r="E1607">
        <v>16</v>
      </c>
      <c r="F1607" s="3">
        <v>258</v>
      </c>
      <c r="G1607" t="s">
        <v>2152</v>
      </c>
    </row>
    <row r="1608" spans="1:7">
      <c r="A1608" s="1" t="s">
        <v>2153</v>
      </c>
      <c r="D1608" t="s">
        <v>2154</v>
      </c>
      <c r="E1608">
        <v>16</v>
      </c>
      <c r="F1608" s="3">
        <v>384</v>
      </c>
      <c r="G1608" t="s">
        <v>2155</v>
      </c>
    </row>
    <row r="1609" spans="1:7">
      <c r="A1609" s="1" t="s">
        <v>2156</v>
      </c>
      <c r="D1609" t="s">
        <v>2157</v>
      </c>
      <c r="E1609">
        <v>16</v>
      </c>
      <c r="F1609" s="3" t="s">
        <v>2158</v>
      </c>
      <c r="G1609" t="s">
        <v>2159</v>
      </c>
    </row>
    <row r="1610" spans="1:7">
      <c r="A1610" s="1">
        <v>154510</v>
      </c>
      <c r="D1610" t="s">
        <v>2160</v>
      </c>
      <c r="E1610">
        <v>16</v>
      </c>
      <c r="F1610" s="3" t="s">
        <v>2161</v>
      </c>
      <c r="G1610" t="s">
        <v>2162</v>
      </c>
    </row>
    <row r="1611" spans="1:7">
      <c r="A1611" s="1">
        <v>154512</v>
      </c>
      <c r="D1611" t="s">
        <v>2163</v>
      </c>
      <c r="E1611">
        <v>16</v>
      </c>
      <c r="F1611" s="3">
        <v>708</v>
      </c>
      <c r="G1611" t="s">
        <v>2164</v>
      </c>
    </row>
    <row r="1614" spans="1:7">
      <c r="A1614" s="1" t="s">
        <v>2165</v>
      </c>
      <c r="D1614" t="s">
        <v>2166</v>
      </c>
      <c r="E1614">
        <v>64</v>
      </c>
      <c r="F1614" s="3" t="s">
        <v>2167</v>
      </c>
    </row>
    <row r="1615" spans="1:7">
      <c r="A1615" s="1">
        <v>154814</v>
      </c>
      <c r="D1615" t="s">
        <v>2168</v>
      </c>
      <c r="E1615">
        <v>64</v>
      </c>
      <c r="F1615" s="3" t="s">
        <v>2169</v>
      </c>
    </row>
    <row r="1616" spans="1:7">
      <c r="A1616" s="1" t="s">
        <v>2170</v>
      </c>
      <c r="D1616" t="s">
        <v>2171</v>
      </c>
      <c r="E1616">
        <v>64</v>
      </c>
      <c r="F1616" s="3" t="s">
        <v>2172</v>
      </c>
    </row>
    <row r="1618" spans="1:6">
      <c r="A1618" s="1">
        <v>154878</v>
      </c>
      <c r="D1618" t="s">
        <v>2173</v>
      </c>
    </row>
    <row r="1620" spans="1:6">
      <c r="A1620" s="1" t="s">
        <v>2174</v>
      </c>
      <c r="E1620">
        <v>64</v>
      </c>
      <c r="F1620" s="3" t="s">
        <v>2175</v>
      </c>
    </row>
    <row r="1621" spans="1:6">
      <c r="A1621" s="1" t="s">
        <v>2176</v>
      </c>
      <c r="E1621">
        <v>64</v>
      </c>
      <c r="F1621" s="3" t="s">
        <v>2175</v>
      </c>
    </row>
    <row r="1622" spans="1:6">
      <c r="A1622" s="1" t="s">
        <v>2177</v>
      </c>
      <c r="E1622">
        <v>64</v>
      </c>
      <c r="F1622" s="3" t="s">
        <v>2175</v>
      </c>
    </row>
    <row r="1623" spans="1:6">
      <c r="A1623" s="1" t="s">
        <v>2178</v>
      </c>
      <c r="E1623">
        <v>64</v>
      </c>
      <c r="F1623" s="3" t="s">
        <v>2175</v>
      </c>
    </row>
    <row r="1624" spans="1:6">
      <c r="A1624" s="1" t="s">
        <v>2179</v>
      </c>
      <c r="E1624">
        <v>64</v>
      </c>
      <c r="F1624" s="3" t="s">
        <v>2175</v>
      </c>
    </row>
    <row r="1625" spans="1:6">
      <c r="A1625" s="1" t="s">
        <v>2180</v>
      </c>
      <c r="E1625">
        <v>64</v>
      </c>
      <c r="F1625" s="3" t="s">
        <v>2175</v>
      </c>
    </row>
    <row r="1626" spans="1:6">
      <c r="A1626" s="1" t="s">
        <v>2181</v>
      </c>
      <c r="E1626">
        <v>64</v>
      </c>
      <c r="F1626" s="3" t="s">
        <v>2182</v>
      </c>
    </row>
    <row r="1627" spans="1:6">
      <c r="A1627" s="1" t="s">
        <v>2183</v>
      </c>
      <c r="D1627" t="s">
        <v>2184</v>
      </c>
      <c r="E1627">
        <v>64</v>
      </c>
      <c r="F1627" s="3" t="s">
        <v>2185</v>
      </c>
    </row>
    <row r="1628" spans="1:6">
      <c r="A1628" s="1" t="s">
        <v>2186</v>
      </c>
      <c r="D1628" t="s">
        <v>2187</v>
      </c>
      <c r="E1628">
        <v>64</v>
      </c>
      <c r="F1628" s="3" t="s">
        <v>2188</v>
      </c>
    </row>
    <row r="1629" spans="1:6">
      <c r="A1629" s="1" t="s">
        <v>2189</v>
      </c>
      <c r="D1629" t="s">
        <v>2190</v>
      </c>
      <c r="E1629">
        <v>64</v>
      </c>
      <c r="F1629" s="3" t="s">
        <v>2191</v>
      </c>
    </row>
    <row r="1630" spans="1:6">
      <c r="A1630" s="1" t="s">
        <v>2192</v>
      </c>
      <c r="E1630">
        <v>64</v>
      </c>
      <c r="F1630" s="3" t="s">
        <v>2193</v>
      </c>
    </row>
    <row r="1631" spans="1:6">
      <c r="A1631" s="1" t="s">
        <v>2194</v>
      </c>
      <c r="E1631">
        <v>64</v>
      </c>
      <c r="F1631" s="3" t="s">
        <v>2195</v>
      </c>
    </row>
    <row r="1632" spans="1:6">
      <c r="A1632" s="1" t="s">
        <v>2196</v>
      </c>
      <c r="E1632">
        <v>64</v>
      </c>
      <c r="F1632" s="3" t="s">
        <v>2197</v>
      </c>
    </row>
    <row r="1633" spans="1:6">
      <c r="A1633" s="1" t="s">
        <v>2198</v>
      </c>
      <c r="E1633">
        <v>64</v>
      </c>
      <c r="F1633" s="3" t="s">
        <v>2199</v>
      </c>
    </row>
    <row r="1634" spans="1:6">
      <c r="A1634" s="1" t="s">
        <v>2200</v>
      </c>
      <c r="E1634">
        <v>64</v>
      </c>
      <c r="F1634" s="3" t="s">
        <v>2201</v>
      </c>
    </row>
    <row r="1635" spans="1:6">
      <c r="A1635" s="1" t="s">
        <v>2202</v>
      </c>
      <c r="D1635" t="s">
        <v>2203</v>
      </c>
      <c r="E1635">
        <v>64</v>
      </c>
      <c r="F1635" s="3" t="s">
        <v>2204</v>
      </c>
    </row>
    <row r="1637" spans="1:6">
      <c r="A1637" s="1" t="s">
        <v>2205</v>
      </c>
      <c r="D1637" t="s">
        <v>2206</v>
      </c>
      <c r="E1637">
        <v>32</v>
      </c>
    </row>
    <row r="1639" spans="1:6">
      <c r="A1639" s="1" t="s">
        <v>2207</v>
      </c>
      <c r="D1639" t="s">
        <v>2208</v>
      </c>
      <c r="E1639">
        <v>64</v>
      </c>
      <c r="F1639" s="3">
        <v>1.7453292519943299E-2</v>
      </c>
    </row>
    <row r="1640" spans="1:6">
      <c r="A1640" s="1" t="s">
        <v>2209</v>
      </c>
      <c r="D1640" t="s">
        <v>2208</v>
      </c>
      <c r="E1640">
        <v>64</v>
      </c>
      <c r="F1640" s="3" t="s">
        <v>2210</v>
      </c>
    </row>
    <row r="1642" spans="1:6">
      <c r="A1642" s="1" t="s">
        <v>2211</v>
      </c>
      <c r="D1642" t="s">
        <v>2212</v>
      </c>
      <c r="E1642">
        <v>64</v>
      </c>
      <c r="F1642" s="3" t="s">
        <v>2204</v>
      </c>
    </row>
    <row r="1643" spans="1:6">
      <c r="D1643" t="s">
        <v>2213</v>
      </c>
    </row>
    <row r="1645" spans="1:6">
      <c r="A1645" s="1" t="s">
        <v>2214</v>
      </c>
      <c r="D1645" t="s">
        <v>2215</v>
      </c>
      <c r="F1645" s="3" t="s">
        <v>2216</v>
      </c>
    </row>
    <row r="1646" spans="1:6">
      <c r="F1646"/>
    </row>
    <row r="1647" spans="1:6">
      <c r="A1647" s="1" t="s">
        <v>2217</v>
      </c>
      <c r="D1647" t="s">
        <v>2215</v>
      </c>
      <c r="F1647" s="3" t="s">
        <v>2218</v>
      </c>
    </row>
    <row r="1649" spans="1:6">
      <c r="A1649" s="1" t="s">
        <v>2219</v>
      </c>
      <c r="D1649" t="s">
        <v>2220</v>
      </c>
      <c r="E1649">
        <v>64</v>
      </c>
      <c r="F1649" s="3" t="s">
        <v>2221</v>
      </c>
    </row>
    <row r="1650" spans="1:6">
      <c r="A1650" s="1" t="s">
        <v>2222</v>
      </c>
      <c r="D1650" t="s">
        <v>2223</v>
      </c>
      <c r="E1650">
        <v>64</v>
      </c>
      <c r="F1650" s="3" t="s">
        <v>2224</v>
      </c>
    </row>
    <row r="1651" spans="1:6">
      <c r="A1651" s="1" t="s">
        <v>2225</v>
      </c>
      <c r="D1651" t="s">
        <v>2223</v>
      </c>
      <c r="E1651">
        <v>64</v>
      </c>
      <c r="F1651" s="3" t="s">
        <v>2226</v>
      </c>
    </row>
    <row r="1652" spans="1:6">
      <c r="A1652" s="1" t="s">
        <v>2227</v>
      </c>
      <c r="D1652" t="s">
        <v>2223</v>
      </c>
      <c r="E1652">
        <v>64</v>
      </c>
      <c r="F1652" s="3" t="s">
        <v>2224</v>
      </c>
    </row>
    <row r="1654" spans="1:6">
      <c r="A1654" s="1" t="s">
        <v>2228</v>
      </c>
      <c r="D1654" t="s">
        <v>2229</v>
      </c>
    </row>
    <row r="1656" spans="1:6">
      <c r="A1656" s="1">
        <v>155800</v>
      </c>
      <c r="D1656" t="s">
        <v>2230</v>
      </c>
      <c r="E1656">
        <v>64</v>
      </c>
      <c r="F1656" s="3" t="s">
        <v>2231</v>
      </c>
    </row>
    <row r="1657" spans="1:6">
      <c r="A1657" s="1">
        <v>155808</v>
      </c>
      <c r="D1657" t="s">
        <v>2230</v>
      </c>
      <c r="E1657">
        <v>64</v>
      </c>
      <c r="F1657" s="3" t="s">
        <v>2221</v>
      </c>
    </row>
    <row r="1658" spans="1:6">
      <c r="A1658" s="1">
        <v>155810</v>
      </c>
      <c r="D1658" t="s">
        <v>2230</v>
      </c>
      <c r="E1658">
        <v>64</v>
      </c>
      <c r="F1658" s="3" t="s">
        <v>2221</v>
      </c>
    </row>
    <row r="1660" spans="1:6">
      <c r="A1660" s="1" t="s">
        <v>2232</v>
      </c>
      <c r="D1660" t="s">
        <v>2233</v>
      </c>
      <c r="E1660">
        <v>32</v>
      </c>
    </row>
    <row r="1661" spans="1:6">
      <c r="A1661" s="1" t="s">
        <v>2234</v>
      </c>
      <c r="D1661" t="s">
        <v>2235</v>
      </c>
      <c r="E1661">
        <v>32</v>
      </c>
    </row>
    <row r="1662" spans="1:6">
      <c r="A1662" s="1" t="s">
        <v>2236</v>
      </c>
      <c r="D1662" t="s">
        <v>2237</v>
      </c>
      <c r="E1662">
        <v>32</v>
      </c>
    </row>
    <row r="1663" spans="1:6">
      <c r="A1663" s="1" t="s">
        <v>2238</v>
      </c>
      <c r="D1663" t="s">
        <v>2239</v>
      </c>
      <c r="E1663">
        <v>32</v>
      </c>
    </row>
    <row r="1664" spans="1:6">
      <c r="A1664" s="1" t="s">
        <v>2240</v>
      </c>
      <c r="D1664" t="s">
        <v>2241</v>
      </c>
      <c r="E1664">
        <v>32</v>
      </c>
    </row>
    <row r="1665" spans="1:6">
      <c r="A1665" s="1" t="s">
        <v>2242</v>
      </c>
      <c r="D1665" t="s">
        <v>2243</v>
      </c>
      <c r="E1665">
        <v>32</v>
      </c>
    </row>
    <row r="1666" spans="1:6">
      <c r="A1666" s="1" t="s">
        <v>2244</v>
      </c>
      <c r="D1666" t="s">
        <v>2245</v>
      </c>
      <c r="E1666">
        <v>32</v>
      </c>
    </row>
    <row r="1667" spans="1:6">
      <c r="A1667" s="1" t="s">
        <v>2246</v>
      </c>
      <c r="D1667" t="s">
        <v>2247</v>
      </c>
      <c r="E1667">
        <v>32</v>
      </c>
    </row>
    <row r="1669" spans="1:6">
      <c r="A1669" s="1" t="s">
        <v>2248</v>
      </c>
      <c r="D1669" t="s">
        <v>2249</v>
      </c>
      <c r="E1669">
        <v>64</v>
      </c>
      <c r="F1669" s="3" t="s">
        <v>2224</v>
      </c>
    </row>
    <row r="1670" spans="1:6">
      <c r="A1670" s="1" t="s">
        <v>2250</v>
      </c>
      <c r="D1670" t="s">
        <v>2251</v>
      </c>
      <c r="E1670">
        <v>64</v>
      </c>
      <c r="F1670" s="3" t="s">
        <v>2226</v>
      </c>
    </row>
    <row r="1672" spans="1:6">
      <c r="A1672" s="1" t="s">
        <v>2252</v>
      </c>
      <c r="D1672" t="s">
        <v>2253</v>
      </c>
      <c r="E1672">
        <v>64</v>
      </c>
      <c r="F1672" s="3" t="s">
        <v>2254</v>
      </c>
    </row>
    <row r="1674" spans="1:6">
      <c r="A1674" s="1" t="s">
        <v>2255</v>
      </c>
      <c r="D1674" t="s">
        <v>2256</v>
      </c>
      <c r="E1674">
        <v>64</v>
      </c>
      <c r="F1674" s="3" t="s">
        <v>2257</v>
      </c>
    </row>
    <row r="1675" spans="1:6">
      <c r="A1675" s="1" t="s">
        <v>2258</v>
      </c>
      <c r="D1675" t="s">
        <v>2256</v>
      </c>
      <c r="E1675">
        <v>64</v>
      </c>
      <c r="F1675" s="3" t="s">
        <v>2167</v>
      </c>
    </row>
    <row r="1676" spans="1:6">
      <c r="A1676" s="1">
        <v>156300</v>
      </c>
      <c r="D1676" t="s">
        <v>2256</v>
      </c>
      <c r="E1676">
        <v>64</v>
      </c>
      <c r="F1676" s="3" t="s">
        <v>2259</v>
      </c>
    </row>
    <row r="1678" spans="1:6">
      <c r="A1678" s="1" t="s">
        <v>2260</v>
      </c>
      <c r="D1678" t="s">
        <v>2261</v>
      </c>
      <c r="E1678">
        <v>64</v>
      </c>
      <c r="F1678" s="3" t="s">
        <v>2262</v>
      </c>
    </row>
    <row r="1679" spans="1:6">
      <c r="A1679" s="1" t="s">
        <v>2263</v>
      </c>
      <c r="D1679" t="s">
        <v>2261</v>
      </c>
      <c r="E1679">
        <v>64</v>
      </c>
      <c r="F1679" s="3" t="s">
        <v>2264</v>
      </c>
    </row>
    <row r="1680" spans="1:6">
      <c r="A1680" s="1" t="s">
        <v>2265</v>
      </c>
      <c r="D1680" t="s">
        <v>2266</v>
      </c>
      <c r="E1680">
        <v>64</v>
      </c>
      <c r="F1680" s="3" t="s">
        <v>2218</v>
      </c>
    </row>
    <row r="1682" spans="1:7">
      <c r="A1682" s="1" t="s">
        <v>2267</v>
      </c>
      <c r="B1682" s="2" t="s">
        <v>2268</v>
      </c>
      <c r="D1682" t="s">
        <v>2269</v>
      </c>
      <c r="E1682">
        <v>32</v>
      </c>
      <c r="F1682" s="3" t="s">
        <v>2270</v>
      </c>
    </row>
    <row r="1683" spans="1:7">
      <c r="A1683" s="1" t="s">
        <v>2271</v>
      </c>
      <c r="B1683" s="2" t="s">
        <v>2272</v>
      </c>
      <c r="D1683" t="s">
        <v>2273</v>
      </c>
      <c r="E1683">
        <v>32</v>
      </c>
      <c r="F1683" s="3" t="s">
        <v>2274</v>
      </c>
    </row>
    <row r="1684" spans="1:7">
      <c r="A1684" s="1" t="s">
        <v>2275</v>
      </c>
      <c r="B1684" s="2" t="s">
        <v>2276</v>
      </c>
      <c r="D1684" t="s">
        <v>2277</v>
      </c>
      <c r="E1684">
        <v>32</v>
      </c>
      <c r="F1684" s="5" t="s">
        <v>2278</v>
      </c>
    </row>
    <row r="1685" spans="1:7">
      <c r="A1685" s="1" t="s">
        <v>2279</v>
      </c>
      <c r="B1685" s="2" t="s">
        <v>2280</v>
      </c>
      <c r="D1685" t="s">
        <v>2281</v>
      </c>
      <c r="E1685">
        <v>32</v>
      </c>
      <c r="F1685" s="5" t="s">
        <v>2282</v>
      </c>
    </row>
    <row r="1686" spans="1:7">
      <c r="A1686" s="1" t="s">
        <v>2283</v>
      </c>
      <c r="B1686" s="2" t="s">
        <v>2284</v>
      </c>
      <c r="D1686" t="s">
        <v>2285</v>
      </c>
      <c r="E1686">
        <v>32</v>
      </c>
      <c r="F1686" s="5" t="s">
        <v>2286</v>
      </c>
    </row>
    <row r="1687" spans="1:7">
      <c r="A1687" s="1" t="s">
        <v>2287</v>
      </c>
      <c r="B1687" s="2" t="s">
        <v>2288</v>
      </c>
      <c r="D1687" t="s">
        <v>2289</v>
      </c>
      <c r="E1687">
        <v>32</v>
      </c>
      <c r="F1687" s="5" t="s">
        <v>2290</v>
      </c>
    </row>
    <row r="1688" spans="1:7">
      <c r="A1688" s="1" t="s">
        <v>2291</v>
      </c>
      <c r="B1688" s="2" t="s">
        <v>2292</v>
      </c>
      <c r="D1688" t="s">
        <v>2293</v>
      </c>
      <c r="E1688">
        <v>32</v>
      </c>
      <c r="F1688" s="5" t="s">
        <v>2294</v>
      </c>
    </row>
    <row r="1689" spans="1:7">
      <c r="A1689" s="1" t="s">
        <v>2295</v>
      </c>
      <c r="B1689" s="2" t="s">
        <v>2296</v>
      </c>
      <c r="D1689" t="s">
        <v>2297</v>
      </c>
      <c r="E1689">
        <v>32</v>
      </c>
      <c r="F1689" s="5" t="s">
        <v>2298</v>
      </c>
    </row>
    <row r="1690" spans="1:7">
      <c r="A1690" s="1" t="s">
        <v>2299</v>
      </c>
      <c r="B1690" s="2" t="s">
        <v>2300</v>
      </c>
      <c r="D1690" t="s">
        <v>2301</v>
      </c>
      <c r="E1690">
        <v>32</v>
      </c>
      <c r="F1690" s="5" t="s">
        <v>2302</v>
      </c>
    </row>
    <row r="1691" spans="1:7">
      <c r="F1691" s="5"/>
    </row>
    <row r="1692" spans="1:7">
      <c r="A1692" s="1" t="s">
        <v>2303</v>
      </c>
      <c r="D1692" t="s">
        <v>2304</v>
      </c>
      <c r="E1692">
        <v>64</v>
      </c>
      <c r="F1692" s="3" t="s">
        <v>2172</v>
      </c>
      <c r="G1692" t="s">
        <v>2305</v>
      </c>
    </row>
    <row r="1693" spans="1:7">
      <c r="A1693" s="1" t="s">
        <v>2306</v>
      </c>
      <c r="D1693" t="s">
        <v>2307</v>
      </c>
      <c r="E1693">
        <v>64</v>
      </c>
      <c r="F1693" s="3" t="s">
        <v>2308</v>
      </c>
      <c r="G1693" t="s">
        <v>2309</v>
      </c>
    </row>
    <row r="1695" spans="1:7">
      <c r="A1695" s="1" t="s">
        <v>2310</v>
      </c>
      <c r="D1695" t="s">
        <v>2311</v>
      </c>
      <c r="E1695">
        <v>32</v>
      </c>
      <c r="F1695" s="3" t="s">
        <v>2312</v>
      </c>
      <c r="G1695" t="s">
        <v>2313</v>
      </c>
    </row>
    <row r="1696" spans="1:7">
      <c r="A1696" s="1" t="s">
        <v>2314</v>
      </c>
      <c r="D1696" t="s">
        <v>2315</v>
      </c>
      <c r="E1696">
        <v>32</v>
      </c>
      <c r="F1696" s="3">
        <v>80126108</v>
      </c>
    </row>
    <row r="1697" spans="1:7">
      <c r="A1697" s="1" t="s">
        <v>2316</v>
      </c>
      <c r="D1697" t="s">
        <v>2315</v>
      </c>
      <c r="E1697">
        <v>32</v>
      </c>
      <c r="F1697" s="29" t="s">
        <v>2317</v>
      </c>
    </row>
    <row r="1698" spans="1:7">
      <c r="A1698" s="1" t="s">
        <v>2318</v>
      </c>
      <c r="D1698" t="s">
        <v>2315</v>
      </c>
      <c r="E1698">
        <v>32</v>
      </c>
      <c r="F1698" s="3">
        <v>80126264</v>
      </c>
    </row>
    <row r="1699" spans="1:7">
      <c r="A1699" s="1" t="s">
        <v>2319</v>
      </c>
      <c r="D1699" t="s">
        <v>2315</v>
      </c>
      <c r="E1699">
        <v>32</v>
      </c>
      <c r="F1699" s="3" t="s">
        <v>2320</v>
      </c>
    </row>
    <row r="1700" spans="1:7">
      <c r="A1700" s="4" t="s">
        <v>2321</v>
      </c>
      <c r="D1700" t="s">
        <v>2315</v>
      </c>
      <c r="E1700">
        <v>32</v>
      </c>
      <c r="F1700" s="3">
        <v>80126334</v>
      </c>
    </row>
    <row r="1701" spans="1:7">
      <c r="A1701" s="1" t="s">
        <v>2322</v>
      </c>
      <c r="D1701" t="s">
        <v>2315</v>
      </c>
      <c r="E1701">
        <v>32</v>
      </c>
      <c r="F1701" s="3" t="s">
        <v>2323</v>
      </c>
    </row>
    <row r="1702" spans="1:7">
      <c r="A1702" s="1" t="s">
        <v>2324</v>
      </c>
      <c r="D1702" t="s">
        <v>2315</v>
      </c>
      <c r="E1702">
        <v>32</v>
      </c>
    </row>
    <row r="1703" spans="1:7">
      <c r="A1703" s="1" t="s">
        <v>2325</v>
      </c>
      <c r="D1703" t="s">
        <v>2315</v>
      </c>
      <c r="E1703">
        <v>32</v>
      </c>
    </row>
    <row r="1704" spans="1:7">
      <c r="A1704" s="1" t="s">
        <v>2326</v>
      </c>
      <c r="D1704" t="s">
        <v>2315</v>
      </c>
      <c r="E1704">
        <v>32</v>
      </c>
    </row>
    <row r="1705" spans="1:7">
      <c r="A1705" s="1" t="s">
        <v>2327</v>
      </c>
      <c r="D1705" t="s">
        <v>2315</v>
      </c>
      <c r="E1705">
        <v>32</v>
      </c>
    </row>
    <row r="1706" spans="1:7">
      <c r="A1706" s="1" t="s">
        <v>2328</v>
      </c>
      <c r="D1706" t="s">
        <v>2315</v>
      </c>
      <c r="E1706">
        <v>32</v>
      </c>
    </row>
    <row r="1707" spans="1:7">
      <c r="A1707" s="1" t="s">
        <v>2329</v>
      </c>
      <c r="D1707" t="s">
        <v>2315</v>
      </c>
      <c r="E1707">
        <v>32</v>
      </c>
    </row>
    <row r="1708" spans="1:7">
      <c r="A1708" s="1" t="s">
        <v>2330</v>
      </c>
      <c r="D1708" t="s">
        <v>2315</v>
      </c>
      <c r="E1708">
        <v>32</v>
      </c>
    </row>
    <row r="1709" spans="1:7">
      <c r="A1709" s="1" t="s">
        <v>2331</v>
      </c>
      <c r="D1709" t="s">
        <v>2315</v>
      </c>
      <c r="E1709">
        <v>32</v>
      </c>
      <c r="F1709" s="3" t="s">
        <v>7739</v>
      </c>
      <c r="G1709" t="s">
        <v>7738</v>
      </c>
    </row>
    <row r="1710" spans="1:7">
      <c r="A1710" s="1" t="s">
        <v>2332</v>
      </c>
      <c r="D1710" t="s">
        <v>2315</v>
      </c>
      <c r="E1710">
        <v>32</v>
      </c>
    </row>
    <row r="1711" spans="1:7">
      <c r="A1711" s="1" t="s">
        <v>2333</v>
      </c>
      <c r="D1711" t="s">
        <v>2334</v>
      </c>
      <c r="E1711">
        <v>32</v>
      </c>
      <c r="F1711" s="3" t="s">
        <v>2335</v>
      </c>
      <c r="G1711" t="s">
        <v>2336</v>
      </c>
    </row>
    <row r="1712" spans="1:7">
      <c r="A1712" s="1" t="s">
        <v>2337</v>
      </c>
      <c r="D1712" t="s">
        <v>2315</v>
      </c>
      <c r="E1712">
        <v>32</v>
      </c>
      <c r="F1712" s="3" t="s">
        <v>2338</v>
      </c>
      <c r="G1712" t="s">
        <v>2339</v>
      </c>
    </row>
    <row r="1713" spans="1:10">
      <c r="A1713" s="1" t="s">
        <v>2340</v>
      </c>
      <c r="D1713" t="s">
        <v>2341</v>
      </c>
      <c r="E1713">
        <v>32</v>
      </c>
      <c r="F1713" s="3" t="s">
        <v>2342</v>
      </c>
      <c r="G1713" t="s">
        <v>2343</v>
      </c>
      <c r="J1713" t="s">
        <v>2344</v>
      </c>
    </row>
    <row r="1714" spans="1:10">
      <c r="A1714" s="1" t="s">
        <v>2345</v>
      </c>
      <c r="D1714" t="s">
        <v>2315</v>
      </c>
      <c r="E1714">
        <v>32</v>
      </c>
    </row>
    <row r="1715" spans="1:10">
      <c r="A1715" s="1" t="s">
        <v>2346</v>
      </c>
      <c r="D1715" t="s">
        <v>2315</v>
      </c>
      <c r="E1715">
        <v>32</v>
      </c>
    </row>
    <row r="1717" spans="1:10">
      <c r="A1717" s="1" t="s">
        <v>2347</v>
      </c>
      <c r="D1717" t="s">
        <v>2348</v>
      </c>
      <c r="E1717">
        <v>64</v>
      </c>
      <c r="F1717" s="3" t="s">
        <v>2349</v>
      </c>
    </row>
    <row r="1718" spans="1:10">
      <c r="A1718" s="1" t="s">
        <v>2350</v>
      </c>
      <c r="D1718" t="s">
        <v>2351</v>
      </c>
      <c r="E1718">
        <v>64</v>
      </c>
      <c r="F1718" s="3" t="s">
        <v>2352</v>
      </c>
    </row>
    <row r="1719" spans="1:10">
      <c r="A1719" s="1" t="s">
        <v>2353</v>
      </c>
      <c r="D1719" t="s">
        <v>2354</v>
      </c>
      <c r="E1719">
        <v>64</v>
      </c>
      <c r="F1719" s="3" t="s">
        <v>2355</v>
      </c>
    </row>
    <row r="1720" spans="1:10">
      <c r="A1720" s="1" t="s">
        <v>2356</v>
      </c>
      <c r="D1720" t="s">
        <v>2357</v>
      </c>
      <c r="E1720">
        <v>64</v>
      </c>
      <c r="F1720" s="3" t="s">
        <v>2352</v>
      </c>
      <c r="G1720" t="s">
        <v>2358</v>
      </c>
    </row>
    <row r="1721" spans="1:10">
      <c r="A1721" s="1" t="s">
        <v>2359</v>
      </c>
      <c r="D1721" t="s">
        <v>2360</v>
      </c>
      <c r="E1721">
        <v>64</v>
      </c>
      <c r="F1721" s="3" t="s">
        <v>2355</v>
      </c>
    </row>
    <row r="1722" spans="1:10">
      <c r="A1722" s="1" t="s">
        <v>2361</v>
      </c>
      <c r="D1722" t="s">
        <v>7740</v>
      </c>
      <c r="E1722">
        <v>64</v>
      </c>
      <c r="F1722" s="3" t="s">
        <v>2352</v>
      </c>
    </row>
    <row r="1723" spans="1:10">
      <c r="A1723" s="1" t="s">
        <v>2362</v>
      </c>
      <c r="D1723" t="s">
        <v>7741</v>
      </c>
      <c r="E1723">
        <v>64</v>
      </c>
      <c r="F1723" s="3" t="s">
        <v>2355</v>
      </c>
    </row>
    <row r="1725" spans="1:10">
      <c r="A1725" s="4" t="s">
        <v>2363</v>
      </c>
      <c r="D1725" t="s">
        <v>2364</v>
      </c>
      <c r="E1725">
        <v>64</v>
      </c>
      <c r="F1725" s="3" t="s">
        <v>2365</v>
      </c>
    </row>
    <row r="1726" spans="1:10">
      <c r="A1726" s="4"/>
    </row>
    <row r="1727" spans="1:10">
      <c r="A1727" s="4">
        <v>157920</v>
      </c>
      <c r="D1727" t="s">
        <v>2366</v>
      </c>
      <c r="E1727">
        <v>64</v>
      </c>
      <c r="G1727" t="s">
        <v>2367</v>
      </c>
    </row>
    <row r="1728" spans="1:10">
      <c r="A1728" s="1">
        <v>157928</v>
      </c>
      <c r="E1728">
        <v>64</v>
      </c>
      <c r="G1728" t="s">
        <v>2368</v>
      </c>
    </row>
    <row r="1729" spans="1:7">
      <c r="A1729" s="1">
        <v>157930</v>
      </c>
      <c r="E1729">
        <v>64</v>
      </c>
      <c r="G1729" t="s">
        <v>2369</v>
      </c>
    </row>
    <row r="1730" spans="1:7">
      <c r="A1730" s="1">
        <v>157938</v>
      </c>
      <c r="E1730">
        <v>64</v>
      </c>
      <c r="G1730" t="s">
        <v>2370</v>
      </c>
    </row>
    <row r="1731" spans="1:7">
      <c r="A1731" s="1">
        <v>157940</v>
      </c>
      <c r="D1731" t="s">
        <v>2371</v>
      </c>
      <c r="E1731">
        <v>64</v>
      </c>
      <c r="F1731" s="3" t="s">
        <v>2372</v>
      </c>
      <c r="G1731" t="s">
        <v>2370</v>
      </c>
    </row>
    <row r="1732" spans="1:7">
      <c r="A1732" s="1">
        <v>157948</v>
      </c>
      <c r="E1732">
        <v>64</v>
      </c>
      <c r="G1732" t="s">
        <v>2370</v>
      </c>
    </row>
    <row r="1733" spans="1:7">
      <c r="A1733" s="1">
        <v>157950</v>
      </c>
      <c r="E1733">
        <v>64</v>
      </c>
      <c r="G1733" t="s">
        <v>2369</v>
      </c>
    </row>
    <row r="1734" spans="1:7">
      <c r="A1734" s="1">
        <v>157958</v>
      </c>
      <c r="D1734" t="s">
        <v>2373</v>
      </c>
      <c r="E1734">
        <v>64</v>
      </c>
      <c r="F1734" s="3" t="s">
        <v>2372</v>
      </c>
      <c r="G1734" t="s">
        <v>2370</v>
      </c>
    </row>
    <row r="1735" spans="1:7">
      <c r="A1735" s="1">
        <v>157960</v>
      </c>
      <c r="E1735">
        <v>64</v>
      </c>
      <c r="G1735" t="s">
        <v>2370</v>
      </c>
    </row>
    <row r="1736" spans="1:7">
      <c r="A1736" s="4">
        <v>157968</v>
      </c>
      <c r="E1736">
        <v>64</v>
      </c>
      <c r="G1736" t="s">
        <v>2370</v>
      </c>
    </row>
    <row r="1737" spans="1:7">
      <c r="A1737" s="1">
        <v>157970</v>
      </c>
      <c r="E1737">
        <v>64</v>
      </c>
      <c r="G1737" t="s">
        <v>2370</v>
      </c>
    </row>
    <row r="1738" spans="1:7">
      <c r="A1738" s="1">
        <v>157978</v>
      </c>
      <c r="E1738">
        <v>64</v>
      </c>
      <c r="G1738" t="s">
        <v>2370</v>
      </c>
    </row>
    <row r="1739" spans="1:7">
      <c r="A1739" s="1">
        <v>157980</v>
      </c>
      <c r="E1739">
        <v>64</v>
      </c>
      <c r="G1739" t="s">
        <v>2370</v>
      </c>
    </row>
    <row r="1740" spans="1:7">
      <c r="A1740" s="1">
        <v>157988</v>
      </c>
      <c r="E1740">
        <v>64</v>
      </c>
      <c r="G1740" t="s">
        <v>2370</v>
      </c>
    </row>
    <row r="1741" spans="1:7">
      <c r="A1741" s="1">
        <v>157990</v>
      </c>
      <c r="D1741" t="s">
        <v>2374</v>
      </c>
      <c r="E1741">
        <v>64</v>
      </c>
      <c r="F1741" s="3" t="s">
        <v>2375</v>
      </c>
      <c r="G1741" t="s">
        <v>2369</v>
      </c>
    </row>
    <row r="1742" spans="1:7">
      <c r="A1742" s="4">
        <v>157998</v>
      </c>
      <c r="E1742">
        <v>64</v>
      </c>
      <c r="G1742" t="s">
        <v>2369</v>
      </c>
    </row>
    <row r="1743" spans="1:7">
      <c r="A1743" s="1" t="s">
        <v>2376</v>
      </c>
      <c r="E1743">
        <v>64</v>
      </c>
      <c r="G1743" t="s">
        <v>2377</v>
      </c>
    </row>
    <row r="1744" spans="1:7">
      <c r="A1744" s="1" t="s">
        <v>2378</v>
      </c>
      <c r="E1744">
        <v>64</v>
      </c>
      <c r="G1744" t="s">
        <v>2370</v>
      </c>
    </row>
    <row r="1745" spans="1:7">
      <c r="A1745" s="1" t="s">
        <v>2379</v>
      </c>
      <c r="E1745">
        <v>64</v>
      </c>
      <c r="G1745" t="s">
        <v>2380</v>
      </c>
    </row>
    <row r="1746" spans="1:7">
      <c r="E1746">
        <v>64</v>
      </c>
      <c r="G1746" t="s">
        <v>2381</v>
      </c>
    </row>
    <row r="1747" spans="1:7">
      <c r="A1747" s="1" t="s">
        <v>2382</v>
      </c>
      <c r="E1747">
        <v>64</v>
      </c>
      <c r="G1747" t="s">
        <v>2367</v>
      </c>
    </row>
    <row r="1748" spans="1:7">
      <c r="E1748">
        <v>64</v>
      </c>
      <c r="G1748" t="s">
        <v>2369</v>
      </c>
    </row>
    <row r="1749" spans="1:7">
      <c r="A1749" s="1" t="s">
        <v>2383</v>
      </c>
      <c r="E1749">
        <v>64</v>
      </c>
      <c r="G1749" t="s">
        <v>2384</v>
      </c>
    </row>
    <row r="1750" spans="1:7">
      <c r="E1750">
        <v>64</v>
      </c>
      <c r="G1750" t="s">
        <v>2385</v>
      </c>
    </row>
    <row r="1751" spans="1:7">
      <c r="A1751" s="1" t="s">
        <v>2386</v>
      </c>
      <c r="E1751">
        <v>64</v>
      </c>
      <c r="G1751" t="s">
        <v>2387</v>
      </c>
    </row>
    <row r="1752" spans="1:7">
      <c r="E1752">
        <v>64</v>
      </c>
      <c r="G1752" t="s">
        <v>2388</v>
      </c>
    </row>
    <row r="1753" spans="1:7">
      <c r="A1753" s="1" t="s">
        <v>2389</v>
      </c>
      <c r="E1753">
        <v>64</v>
      </c>
      <c r="G1753" t="s">
        <v>2390</v>
      </c>
    </row>
    <row r="1754" spans="1:7">
      <c r="D1754" t="s">
        <v>2391</v>
      </c>
      <c r="E1754">
        <v>64</v>
      </c>
      <c r="G1754" t="s">
        <v>2384</v>
      </c>
    </row>
    <row r="1755" spans="1:7">
      <c r="A1755" s="1" t="s">
        <v>2392</v>
      </c>
      <c r="D1755" t="s">
        <v>2393</v>
      </c>
      <c r="E1755">
        <v>64</v>
      </c>
      <c r="G1755" t="s">
        <v>2394</v>
      </c>
    </row>
    <row r="1756" spans="1:7">
      <c r="D1756" t="s">
        <v>2393</v>
      </c>
      <c r="E1756">
        <v>64</v>
      </c>
      <c r="G1756" t="s">
        <v>2395</v>
      </c>
    </row>
    <row r="1757" spans="1:7">
      <c r="A1757" s="1" t="s">
        <v>2396</v>
      </c>
      <c r="D1757" t="s">
        <v>2397</v>
      </c>
      <c r="E1757">
        <v>64</v>
      </c>
      <c r="G1757" t="s">
        <v>2398</v>
      </c>
    </row>
    <row r="1758" spans="1:7">
      <c r="A1758" s="1" t="s">
        <v>2399</v>
      </c>
      <c r="D1758" t="s">
        <v>2397</v>
      </c>
      <c r="E1758">
        <v>64</v>
      </c>
      <c r="G1758" t="s">
        <v>2400</v>
      </c>
    </row>
    <row r="1765" spans="1:6">
      <c r="A1765" s="1" t="s">
        <v>2401</v>
      </c>
      <c r="D1765" t="s">
        <v>2402</v>
      </c>
      <c r="E1765">
        <v>64</v>
      </c>
      <c r="F1765" s="3" t="s">
        <v>2403</v>
      </c>
    </row>
    <row r="1771" spans="1:6">
      <c r="A1771" s="1" t="s">
        <v>2404</v>
      </c>
      <c r="D1771" t="s">
        <v>2405</v>
      </c>
    </row>
    <row r="1773" spans="1:6">
      <c r="A1773" s="1" t="s">
        <v>2406</v>
      </c>
      <c r="D1773" t="s">
        <v>2407</v>
      </c>
    </row>
    <row r="1775" spans="1:6">
      <c r="A1775" s="1" t="s">
        <v>2408</v>
      </c>
      <c r="D1775" t="s">
        <v>2409</v>
      </c>
      <c r="E1775">
        <v>8</v>
      </c>
    </row>
    <row r="1777" spans="1:6">
      <c r="A1777" s="1" t="s">
        <v>2410</v>
      </c>
      <c r="D1777" t="s">
        <v>2411</v>
      </c>
    </row>
    <row r="1780" spans="1:6">
      <c r="A1780" s="1" t="s">
        <v>2412</v>
      </c>
      <c r="D1780" t="s">
        <v>2413</v>
      </c>
      <c r="E1780">
        <v>16</v>
      </c>
      <c r="F1780" s="3" t="s">
        <v>2414</v>
      </c>
    </row>
    <row r="1781" spans="1:6">
      <c r="A1781" s="1" t="s">
        <v>2415</v>
      </c>
      <c r="D1781" t="s">
        <v>2416</v>
      </c>
      <c r="E1781">
        <v>16</v>
      </c>
      <c r="F1781" s="3" t="s">
        <v>2417</v>
      </c>
    </row>
    <row r="1782" spans="1:6">
      <c r="A1782" s="1" t="s">
        <v>2418</v>
      </c>
      <c r="E1782">
        <v>16</v>
      </c>
    </row>
    <row r="1783" spans="1:6">
      <c r="A1783" s="1" t="s">
        <v>2419</v>
      </c>
      <c r="D1783" t="s">
        <v>2420</v>
      </c>
      <c r="E1783">
        <v>16</v>
      </c>
    </row>
    <row r="1784" spans="1:6">
      <c r="A1784" s="1" t="s">
        <v>2421</v>
      </c>
      <c r="D1784" t="s">
        <v>2422</v>
      </c>
      <c r="E1784">
        <v>16</v>
      </c>
      <c r="F1784" s="3" t="s">
        <v>2423</v>
      </c>
    </row>
    <row r="1785" spans="1:6">
      <c r="A1785" s="1" t="s">
        <v>2424</v>
      </c>
      <c r="D1785" t="s">
        <v>2416</v>
      </c>
      <c r="E1785">
        <v>16</v>
      </c>
      <c r="F1785" s="3" t="s">
        <v>2417</v>
      </c>
    </row>
    <row r="1786" spans="1:6">
      <c r="A1786" s="1" t="s">
        <v>2425</v>
      </c>
      <c r="D1786" t="s">
        <v>2426</v>
      </c>
      <c r="E1786">
        <v>16</v>
      </c>
      <c r="F1786" s="3" t="s">
        <v>2427</v>
      </c>
    </row>
    <row r="1789" spans="1:6">
      <c r="A1789" s="1" t="s">
        <v>2428</v>
      </c>
      <c r="D1789" t="s">
        <v>2429</v>
      </c>
      <c r="E1789">
        <v>32</v>
      </c>
    </row>
    <row r="1790" spans="1:6">
      <c r="A1790" s="4"/>
    </row>
    <row r="1791" spans="1:6">
      <c r="A1791" s="1" t="s">
        <v>2430</v>
      </c>
      <c r="D1791" t="s">
        <v>2431</v>
      </c>
      <c r="E1791">
        <v>32</v>
      </c>
    </row>
    <row r="1792" spans="1:6">
      <c r="A1792" s="4"/>
    </row>
    <row r="1793" spans="1:6">
      <c r="A1793" s="1" t="s">
        <v>2432</v>
      </c>
      <c r="D1793" t="s">
        <v>2433</v>
      </c>
      <c r="E1793">
        <v>32</v>
      </c>
    </row>
    <row r="1794" spans="1:6">
      <c r="A1794" s="1" t="s">
        <v>2434</v>
      </c>
      <c r="B1794" s="2" t="s">
        <v>536</v>
      </c>
      <c r="D1794" t="s">
        <v>2435</v>
      </c>
      <c r="E1794">
        <v>16</v>
      </c>
    </row>
    <row r="1795" spans="1:6">
      <c r="A1795" s="1" t="s">
        <v>2436</v>
      </c>
      <c r="B1795" s="2" t="s">
        <v>544</v>
      </c>
      <c r="D1795" t="s">
        <v>2437</v>
      </c>
      <c r="E1795">
        <v>8</v>
      </c>
    </row>
    <row r="1796" spans="1:6">
      <c r="A1796" s="1" t="s">
        <v>2438</v>
      </c>
      <c r="B1796" s="2" t="s">
        <v>548</v>
      </c>
      <c r="D1796" t="s">
        <v>2439</v>
      </c>
      <c r="E1796">
        <v>8</v>
      </c>
    </row>
    <row r="1797" spans="1:6">
      <c r="A1797" s="1" t="s">
        <v>2440</v>
      </c>
      <c r="B1797" s="2" t="s">
        <v>551</v>
      </c>
      <c r="D1797" t="s">
        <v>2441</v>
      </c>
      <c r="E1797">
        <v>16</v>
      </c>
    </row>
    <row r="1798" spans="1:6">
      <c r="A1798" s="1" t="s">
        <v>2442</v>
      </c>
      <c r="B1798" s="2" t="s">
        <v>557</v>
      </c>
      <c r="D1798" t="s">
        <v>2443</v>
      </c>
      <c r="E1798">
        <v>16</v>
      </c>
    </row>
    <row r="1799" spans="1:6">
      <c r="A1799" s="1" t="s">
        <v>2444</v>
      </c>
      <c r="B1799" s="2" t="s">
        <v>563</v>
      </c>
      <c r="D1799" t="s">
        <v>2445</v>
      </c>
      <c r="E1799">
        <v>32</v>
      </c>
    </row>
    <row r="1800" spans="1:6">
      <c r="A1800" s="1" t="s">
        <v>2446</v>
      </c>
      <c r="B1800" s="2" t="s">
        <v>575</v>
      </c>
      <c r="D1800" t="s">
        <v>2447</v>
      </c>
      <c r="E1800">
        <v>32</v>
      </c>
    </row>
    <row r="1801" spans="1:6">
      <c r="A1801" s="1" t="s">
        <v>2448</v>
      </c>
      <c r="B1801" s="2" t="s">
        <v>587</v>
      </c>
      <c r="D1801" t="s">
        <v>2449</v>
      </c>
      <c r="E1801">
        <v>32</v>
      </c>
    </row>
    <row r="1802" spans="1:6">
      <c r="A1802" s="1" t="s">
        <v>2450</v>
      </c>
      <c r="B1802" s="2" t="s">
        <v>601</v>
      </c>
      <c r="D1802" t="s">
        <v>2451</v>
      </c>
      <c r="E1802">
        <v>32</v>
      </c>
    </row>
    <row r="1803" spans="1:6">
      <c r="A1803" s="1" t="s">
        <v>2452</v>
      </c>
      <c r="B1803" s="2" t="s">
        <v>615</v>
      </c>
      <c r="D1803" t="s">
        <v>2453</v>
      </c>
      <c r="E1803">
        <v>32</v>
      </c>
    </row>
    <row r="1804" spans="1:6">
      <c r="A1804" s="1" t="s">
        <v>2454</v>
      </c>
      <c r="B1804" s="2" t="s">
        <v>626</v>
      </c>
      <c r="D1804" t="s">
        <v>2455</v>
      </c>
      <c r="E1804">
        <v>32</v>
      </c>
    </row>
    <row r="1805" spans="1:6">
      <c r="A1805" s="1" t="s">
        <v>2456</v>
      </c>
      <c r="B1805" s="2" t="s">
        <v>638</v>
      </c>
      <c r="D1805" t="s">
        <v>2457</v>
      </c>
      <c r="E1805">
        <v>32</v>
      </c>
    </row>
    <row r="1807" spans="1:6">
      <c r="A1807" s="1" t="s">
        <v>2458</v>
      </c>
      <c r="D1807" t="s">
        <v>2459</v>
      </c>
      <c r="E1807">
        <v>32</v>
      </c>
      <c r="F1807" s="3" t="s">
        <v>2460</v>
      </c>
    </row>
    <row r="1809" spans="1:7">
      <c r="A1809" s="1" t="s">
        <v>2461</v>
      </c>
      <c r="D1809" t="s">
        <v>2462</v>
      </c>
      <c r="E1809">
        <v>32</v>
      </c>
      <c r="F1809" s="3" t="s">
        <v>2463</v>
      </c>
    </row>
    <row r="1811" spans="1:7">
      <c r="A1811" s="1" t="s">
        <v>2464</v>
      </c>
      <c r="D1811" t="s">
        <v>2465</v>
      </c>
    </row>
    <row r="1814" spans="1:7">
      <c r="A1814" s="1" t="s">
        <v>2466</v>
      </c>
      <c r="B1814" s="2" t="s">
        <v>521</v>
      </c>
      <c r="D1814" t="s">
        <v>2467</v>
      </c>
      <c r="E1814">
        <v>32</v>
      </c>
      <c r="F1814" s="3" t="s">
        <v>2468</v>
      </c>
    </row>
    <row r="1815" spans="1:7">
      <c r="A1815" s="1" t="s">
        <v>2469</v>
      </c>
      <c r="B1815" s="2" t="s">
        <v>536</v>
      </c>
      <c r="D1815" t="s">
        <v>2470</v>
      </c>
      <c r="E1815">
        <v>32</v>
      </c>
      <c r="F1815" s="3" t="s">
        <v>2471</v>
      </c>
    </row>
    <row r="1816" spans="1:7">
      <c r="A1816" s="1" t="s">
        <v>2472</v>
      </c>
      <c r="B1816" s="2" t="s">
        <v>551</v>
      </c>
      <c r="D1816" t="s">
        <v>2473</v>
      </c>
      <c r="E1816">
        <v>32</v>
      </c>
      <c r="F1816" s="3" t="s">
        <v>2474</v>
      </c>
    </row>
    <row r="1817" spans="1:7">
      <c r="A1817" s="1" t="s">
        <v>2475</v>
      </c>
      <c r="B1817" s="2" t="s">
        <v>563</v>
      </c>
      <c r="E1817">
        <v>32</v>
      </c>
      <c r="F1817" s="3" t="s">
        <v>2468</v>
      </c>
    </row>
    <row r="1818" spans="1:7">
      <c r="A1818" s="1" t="s">
        <v>2476</v>
      </c>
      <c r="B1818" s="2" t="s">
        <v>575</v>
      </c>
      <c r="D1818" t="s">
        <v>2477</v>
      </c>
      <c r="E1818">
        <v>32</v>
      </c>
      <c r="F1818" s="3" t="s">
        <v>2478</v>
      </c>
    </row>
    <row r="1819" spans="1:7">
      <c r="A1819" s="1" t="s">
        <v>2479</v>
      </c>
      <c r="B1819" s="2" t="s">
        <v>587</v>
      </c>
      <c r="E1819">
        <v>32</v>
      </c>
      <c r="F1819" s="3" t="s">
        <v>2480</v>
      </c>
    </row>
    <row r="1820" spans="1:7">
      <c r="A1820" s="1" t="s">
        <v>2481</v>
      </c>
      <c r="B1820" s="2" t="s">
        <v>601</v>
      </c>
      <c r="D1820" t="s">
        <v>2482</v>
      </c>
      <c r="E1820">
        <v>32</v>
      </c>
      <c r="F1820" s="3">
        <v>0</v>
      </c>
    </row>
    <row r="1821" spans="1:7">
      <c r="A1821" s="1" t="s">
        <v>2483</v>
      </c>
      <c r="B1821" s="2" t="s">
        <v>615</v>
      </c>
      <c r="D1821" t="s">
        <v>2484</v>
      </c>
      <c r="E1821">
        <v>32</v>
      </c>
      <c r="F1821" s="3" t="s">
        <v>2485</v>
      </c>
      <c r="G1821" t="s">
        <v>2486</v>
      </c>
    </row>
    <row r="1822" spans="1:7">
      <c r="A1822" s="1" t="s">
        <v>2487</v>
      </c>
      <c r="B1822" s="2" t="s">
        <v>626</v>
      </c>
      <c r="D1822" t="s">
        <v>2488</v>
      </c>
      <c r="E1822">
        <v>32</v>
      </c>
      <c r="F1822" s="3">
        <v>0</v>
      </c>
    </row>
    <row r="1823" spans="1:7">
      <c r="A1823" s="1" t="s">
        <v>2489</v>
      </c>
      <c r="B1823" s="2" t="s">
        <v>638</v>
      </c>
      <c r="E1823">
        <v>32</v>
      </c>
    </row>
    <row r="1824" spans="1:7">
      <c r="A1824" s="1" t="s">
        <v>2490</v>
      </c>
      <c r="B1824" s="2" t="s">
        <v>653</v>
      </c>
      <c r="E1824">
        <v>32</v>
      </c>
    </row>
    <row r="1825" spans="1:7">
      <c r="A1825" s="1" t="s">
        <v>2491</v>
      </c>
      <c r="B1825" s="2" t="s">
        <v>659</v>
      </c>
      <c r="D1825" t="s">
        <v>2492</v>
      </c>
      <c r="E1825">
        <v>32</v>
      </c>
      <c r="G1825" t="s">
        <v>2493</v>
      </c>
    </row>
    <row r="1826" spans="1:7">
      <c r="A1826" s="1" t="s">
        <v>2494</v>
      </c>
      <c r="B1826" s="2" t="s">
        <v>665</v>
      </c>
      <c r="D1826" t="s">
        <v>2495</v>
      </c>
      <c r="E1826">
        <v>32</v>
      </c>
      <c r="G1826" t="s">
        <v>2496</v>
      </c>
    </row>
    <row r="1827" spans="1:7">
      <c r="A1827" s="1" t="s">
        <v>2497</v>
      </c>
      <c r="B1827" s="2" t="s">
        <v>681</v>
      </c>
      <c r="D1827" t="s">
        <v>2498</v>
      </c>
      <c r="E1827">
        <v>32</v>
      </c>
      <c r="G1827" t="s">
        <v>2499</v>
      </c>
    </row>
    <row r="1828" spans="1:7">
      <c r="A1828" s="1" t="s">
        <v>2500</v>
      </c>
      <c r="B1828" s="2" t="s">
        <v>685</v>
      </c>
      <c r="G1828" t="s">
        <v>2501</v>
      </c>
    </row>
    <row r="1829" spans="1:7">
      <c r="A1829" s="1" t="s">
        <v>2502</v>
      </c>
      <c r="B1829" s="2" t="s">
        <v>2503</v>
      </c>
      <c r="D1829" t="s">
        <v>2504</v>
      </c>
      <c r="E1829">
        <v>32</v>
      </c>
      <c r="G1829" t="s">
        <v>2505</v>
      </c>
    </row>
    <row r="1830" spans="1:7">
      <c r="A1830" s="1" t="s">
        <v>2506</v>
      </c>
      <c r="B1830" s="2" t="s">
        <v>1302</v>
      </c>
      <c r="D1830" t="s">
        <v>2507</v>
      </c>
      <c r="E1830">
        <v>32</v>
      </c>
      <c r="G1830" t="s">
        <v>2508</v>
      </c>
    </row>
    <row r="1831" spans="1:7">
      <c r="A1831" s="1" t="s">
        <v>2509</v>
      </c>
      <c r="B1831" s="2" t="s">
        <v>2510</v>
      </c>
      <c r="D1831" t="s">
        <v>2511</v>
      </c>
      <c r="E1831">
        <v>32</v>
      </c>
      <c r="G1831" t="s">
        <v>2512</v>
      </c>
    </row>
    <row r="1832" spans="1:7">
      <c r="A1832" s="1" t="s">
        <v>2513</v>
      </c>
      <c r="B1832" s="2" t="s">
        <v>2514</v>
      </c>
      <c r="D1832" t="s">
        <v>2515</v>
      </c>
      <c r="E1832">
        <v>32</v>
      </c>
      <c r="G1832" t="s">
        <v>2516</v>
      </c>
    </row>
    <row r="1833" spans="1:7">
      <c r="A1833" s="1" t="s">
        <v>2517</v>
      </c>
      <c r="B1833" s="2" t="s">
        <v>2518</v>
      </c>
      <c r="D1833" t="s">
        <v>2519</v>
      </c>
      <c r="E1833">
        <v>32</v>
      </c>
      <c r="G1833" t="s">
        <v>2520</v>
      </c>
    </row>
    <row r="1835" spans="1:7">
      <c r="A1835" s="1" t="s">
        <v>2521</v>
      </c>
      <c r="B1835" s="2" t="s">
        <v>2522</v>
      </c>
      <c r="D1835" t="s">
        <v>2523</v>
      </c>
      <c r="E1835">
        <v>32</v>
      </c>
    </row>
    <row r="1838" spans="1:7">
      <c r="A1838" s="93" t="s">
        <v>2524</v>
      </c>
      <c r="B1838" s="94" t="s">
        <v>521</v>
      </c>
      <c r="C1838" s="94"/>
      <c r="D1838" s="95" t="s">
        <v>8119</v>
      </c>
      <c r="E1838" s="95">
        <v>32</v>
      </c>
      <c r="F1838" s="96" t="s">
        <v>8120</v>
      </c>
    </row>
    <row r="1839" spans="1:7">
      <c r="A1839" s="93" t="s">
        <v>2525</v>
      </c>
      <c r="B1839" s="94" t="s">
        <v>536</v>
      </c>
      <c r="C1839" s="94"/>
      <c r="D1839" s="95" t="s">
        <v>8142</v>
      </c>
      <c r="E1839" s="95">
        <v>32</v>
      </c>
      <c r="F1839" s="96" t="s">
        <v>8120</v>
      </c>
    </row>
    <row r="1840" spans="1:7">
      <c r="A1840" s="93" t="s">
        <v>2527</v>
      </c>
      <c r="B1840" s="94" t="s">
        <v>551</v>
      </c>
      <c r="C1840" s="94"/>
      <c r="D1840" s="95" t="s">
        <v>8144</v>
      </c>
      <c r="E1840" s="95">
        <v>32</v>
      </c>
      <c r="F1840" s="96" t="s">
        <v>8120</v>
      </c>
    </row>
    <row r="1841" spans="1:6">
      <c r="A1841" s="93" t="s">
        <v>2528</v>
      </c>
      <c r="B1841" s="94" t="s">
        <v>563</v>
      </c>
      <c r="C1841" s="94"/>
      <c r="D1841" s="95" t="s">
        <v>8145</v>
      </c>
      <c r="E1841" s="95">
        <v>32</v>
      </c>
      <c r="F1841" s="96" t="s">
        <v>8143</v>
      </c>
    </row>
    <row r="1842" spans="1:6">
      <c r="A1842" s="93" t="s">
        <v>8121</v>
      </c>
      <c r="B1842" s="94" t="s">
        <v>575</v>
      </c>
      <c r="C1842" s="94"/>
      <c r="D1842" s="95" t="s">
        <v>8149</v>
      </c>
      <c r="E1842" s="95">
        <v>32</v>
      </c>
      <c r="F1842" s="96">
        <v>0</v>
      </c>
    </row>
    <row r="1843" spans="1:6">
      <c r="A1843" s="93" t="s">
        <v>8122</v>
      </c>
      <c r="B1843" s="94" t="s">
        <v>587</v>
      </c>
      <c r="C1843" s="94"/>
      <c r="D1843" s="95"/>
      <c r="E1843" s="95">
        <v>32</v>
      </c>
      <c r="F1843" s="96"/>
    </row>
    <row r="1844" spans="1:6">
      <c r="A1844" s="93" t="s">
        <v>8123</v>
      </c>
      <c r="B1844" s="94" t="s">
        <v>601</v>
      </c>
      <c r="C1844" s="94"/>
      <c r="D1844" s="95"/>
      <c r="E1844" s="95">
        <v>32</v>
      </c>
      <c r="F1844" s="96"/>
    </row>
    <row r="1845" spans="1:6">
      <c r="A1845" s="93" t="s">
        <v>8124</v>
      </c>
      <c r="B1845" s="94" t="s">
        <v>615</v>
      </c>
      <c r="C1845" s="94"/>
      <c r="D1845" s="95"/>
      <c r="E1845" s="95">
        <v>32</v>
      </c>
      <c r="F1845" s="96"/>
    </row>
    <row r="1846" spans="1:6">
      <c r="A1846" s="93" t="s">
        <v>8125</v>
      </c>
      <c r="B1846" s="94" t="s">
        <v>626</v>
      </c>
      <c r="C1846" s="94"/>
      <c r="D1846" s="95" t="s">
        <v>8156</v>
      </c>
      <c r="E1846" s="95">
        <v>16</v>
      </c>
      <c r="F1846" s="96"/>
    </row>
    <row r="1847" spans="1:6">
      <c r="A1847" s="93" t="s">
        <v>8126</v>
      </c>
      <c r="B1847" s="94" t="s">
        <v>630</v>
      </c>
      <c r="C1847" s="94"/>
      <c r="D1847" s="95" t="s">
        <v>8184</v>
      </c>
      <c r="E1847" s="95">
        <v>16</v>
      </c>
      <c r="F1847" s="96"/>
    </row>
    <row r="1848" spans="1:6">
      <c r="A1848" s="93" t="s">
        <v>8127</v>
      </c>
      <c r="B1848" s="94" t="s">
        <v>638</v>
      </c>
      <c r="C1848" s="94"/>
      <c r="D1848" s="95"/>
      <c r="E1848" s="95">
        <v>16</v>
      </c>
      <c r="F1848" s="96"/>
    </row>
    <row r="1849" spans="1:6">
      <c r="A1849" s="93" t="s">
        <v>8128</v>
      </c>
      <c r="B1849" s="94" t="s">
        <v>645</v>
      </c>
      <c r="C1849" s="94"/>
      <c r="D1849" s="95"/>
      <c r="E1849" s="95">
        <v>16</v>
      </c>
      <c r="F1849" s="96"/>
    </row>
    <row r="1850" spans="1:6">
      <c r="A1850" s="93" t="s">
        <v>8129</v>
      </c>
      <c r="B1850" s="94" t="s">
        <v>653</v>
      </c>
      <c r="C1850" s="94"/>
      <c r="D1850" s="95"/>
      <c r="E1850" s="95">
        <v>16</v>
      </c>
      <c r="F1850" s="96"/>
    </row>
    <row r="1851" spans="1:6">
      <c r="A1851" s="93" t="s">
        <v>8130</v>
      </c>
      <c r="B1851" s="94" t="s">
        <v>665</v>
      </c>
      <c r="C1851" s="94"/>
      <c r="D1851" s="95" t="s">
        <v>8137</v>
      </c>
      <c r="E1851" s="95">
        <v>32</v>
      </c>
      <c r="F1851" s="96"/>
    </row>
    <row r="1852" spans="1:6">
      <c r="A1852" s="93" t="s">
        <v>8131</v>
      </c>
      <c r="B1852" s="94" t="s">
        <v>681</v>
      </c>
      <c r="C1852" s="94"/>
      <c r="D1852" s="95"/>
      <c r="E1852" s="95">
        <v>32</v>
      </c>
      <c r="F1852" s="96"/>
    </row>
    <row r="1853" spans="1:6">
      <c r="A1853" s="93" t="s">
        <v>8132</v>
      </c>
      <c r="B1853" s="94" t="s">
        <v>685</v>
      </c>
      <c r="C1853" s="94"/>
      <c r="D1853" s="95" t="s">
        <v>8141</v>
      </c>
      <c r="E1853" s="95">
        <v>32</v>
      </c>
      <c r="F1853" s="96"/>
    </row>
    <row r="1854" spans="1:6">
      <c r="A1854" s="93" t="s">
        <v>8133</v>
      </c>
      <c r="B1854" s="94" t="s">
        <v>2503</v>
      </c>
      <c r="C1854" s="94"/>
      <c r="D1854" s="95" t="s">
        <v>8148</v>
      </c>
      <c r="E1854" s="95">
        <v>32</v>
      </c>
      <c r="F1854" s="96"/>
    </row>
    <row r="1855" spans="1:6">
      <c r="A1855" s="93" t="s">
        <v>8134</v>
      </c>
      <c r="B1855" s="94" t="s">
        <v>1302</v>
      </c>
      <c r="C1855" s="94"/>
      <c r="D1855" s="95" t="s">
        <v>8140</v>
      </c>
      <c r="E1855" s="95">
        <v>32</v>
      </c>
      <c r="F1855" s="96"/>
    </row>
    <row r="1856" spans="1:6">
      <c r="A1856" s="93" t="s">
        <v>8135</v>
      </c>
      <c r="B1856" s="94" t="s">
        <v>2510</v>
      </c>
      <c r="C1856" s="94"/>
      <c r="D1856" s="95" t="s">
        <v>8146</v>
      </c>
      <c r="E1856" s="95">
        <v>32</v>
      </c>
      <c r="F1856" s="96"/>
    </row>
    <row r="1857" spans="1:7">
      <c r="A1857" s="93" t="s">
        <v>8136</v>
      </c>
      <c r="B1857" s="94" t="s">
        <v>2514</v>
      </c>
      <c r="C1857" s="94"/>
      <c r="D1857" s="95" t="s">
        <v>8147</v>
      </c>
      <c r="E1857" s="95">
        <v>32</v>
      </c>
      <c r="F1857" s="96"/>
    </row>
    <row r="1858" spans="1:7">
      <c r="A1858" s="93" t="s">
        <v>8138</v>
      </c>
      <c r="B1858" s="94" t="s">
        <v>2518</v>
      </c>
      <c r="C1858" s="94"/>
      <c r="D1858" s="97" t="s">
        <v>8139</v>
      </c>
      <c r="E1858" s="95">
        <v>32</v>
      </c>
      <c r="F1858" s="96"/>
    </row>
    <row r="1859" spans="1:7">
      <c r="D1859" s="20"/>
    </row>
    <row r="1860" spans="1:7">
      <c r="A1860" s="1" t="s">
        <v>2529</v>
      </c>
      <c r="D1860" t="s">
        <v>2530</v>
      </c>
      <c r="E1860">
        <v>32</v>
      </c>
    </row>
    <row r="1862" spans="1:7">
      <c r="A1862" s="1" t="s">
        <v>2531</v>
      </c>
      <c r="D1862" t="s">
        <v>2532</v>
      </c>
    </row>
    <row r="1864" spans="1:7">
      <c r="A1864" s="1" t="s">
        <v>2533</v>
      </c>
      <c r="D1864" t="s">
        <v>2534</v>
      </c>
      <c r="E1864">
        <v>16</v>
      </c>
    </row>
    <row r="1866" spans="1:7">
      <c r="A1866" s="1" t="s">
        <v>2535</v>
      </c>
      <c r="D1866" t="s">
        <v>2536</v>
      </c>
      <c r="E1866">
        <v>32</v>
      </c>
      <c r="F1866" s="3" t="s">
        <v>2537</v>
      </c>
    </row>
    <row r="1867" spans="1:7">
      <c r="A1867" s="1" t="s">
        <v>2538</v>
      </c>
      <c r="D1867" t="s">
        <v>2539</v>
      </c>
      <c r="E1867">
        <v>32</v>
      </c>
      <c r="F1867" s="3" t="s">
        <v>2540</v>
      </c>
    </row>
    <row r="1869" spans="1:7">
      <c r="A1869" s="1" t="s">
        <v>2541</v>
      </c>
      <c r="D1869" t="s">
        <v>2542</v>
      </c>
      <c r="E1869">
        <v>16</v>
      </c>
      <c r="F1869" s="3" t="s">
        <v>2543</v>
      </c>
      <c r="G1869" t="s">
        <v>2544</v>
      </c>
    </row>
    <row r="1871" spans="1:7">
      <c r="A1871" s="1" t="s">
        <v>2545</v>
      </c>
      <c r="D1871" t="s">
        <v>2546</v>
      </c>
      <c r="E1871">
        <v>16</v>
      </c>
      <c r="F1871" s="3" t="s">
        <v>2547</v>
      </c>
    </row>
    <row r="1873" spans="1:6">
      <c r="A1873" s="1" t="s">
        <v>2548</v>
      </c>
      <c r="D1873" t="s">
        <v>2549</v>
      </c>
      <c r="E1873">
        <v>16</v>
      </c>
    </row>
    <row r="1875" spans="1:6">
      <c r="A1875" s="1" t="s">
        <v>2533</v>
      </c>
      <c r="D1875" t="s">
        <v>2550</v>
      </c>
      <c r="E1875">
        <v>16</v>
      </c>
    </row>
    <row r="1877" spans="1:6">
      <c r="A1877" s="1" t="s">
        <v>2551</v>
      </c>
      <c r="D1877" t="s">
        <v>2552</v>
      </c>
      <c r="E1877">
        <v>32</v>
      </c>
      <c r="F1877" s="3" t="s">
        <v>2553</v>
      </c>
    </row>
    <row r="1879" spans="1:6">
      <c r="A1879" s="1" t="s">
        <v>2554</v>
      </c>
      <c r="D1879" t="s">
        <v>2555</v>
      </c>
      <c r="E1879">
        <v>16</v>
      </c>
    </row>
    <row r="1881" spans="1:6">
      <c r="A1881" s="1" t="s">
        <v>2556</v>
      </c>
      <c r="D1881" t="s">
        <v>2557</v>
      </c>
    </row>
    <row r="1884" spans="1:6">
      <c r="A1884" s="1" t="s">
        <v>2558</v>
      </c>
      <c r="D1884" t="s">
        <v>2559</v>
      </c>
      <c r="E1884">
        <v>32</v>
      </c>
    </row>
    <row r="1885" spans="1:6">
      <c r="A1885" s="1" t="s">
        <v>2560</v>
      </c>
      <c r="D1885" t="s">
        <v>2561</v>
      </c>
      <c r="E1885">
        <v>32</v>
      </c>
    </row>
    <row r="1886" spans="1:6">
      <c r="A1886" s="1" t="s">
        <v>2562</v>
      </c>
      <c r="B1886" s="2" t="s">
        <v>551</v>
      </c>
      <c r="D1886" t="s">
        <v>2563</v>
      </c>
      <c r="E1886">
        <v>16</v>
      </c>
      <c r="F1886" s="3" t="s">
        <v>2564</v>
      </c>
    </row>
    <row r="1887" spans="1:6">
      <c r="A1887" s="1" t="s">
        <v>2565</v>
      </c>
      <c r="B1887" s="2" t="s">
        <v>557</v>
      </c>
      <c r="D1887" t="s">
        <v>2563</v>
      </c>
      <c r="E1887">
        <v>16</v>
      </c>
    </row>
    <row r="1888" spans="1:6">
      <c r="A1888" s="1" t="s">
        <v>2566</v>
      </c>
      <c r="B1888" s="2" t="s">
        <v>563</v>
      </c>
      <c r="D1888" t="s">
        <v>2563</v>
      </c>
      <c r="E1888">
        <v>16</v>
      </c>
    </row>
    <row r="1889" spans="1:5">
      <c r="A1889" s="1" t="s">
        <v>2567</v>
      </c>
      <c r="B1889" s="2" t="s">
        <v>569</v>
      </c>
      <c r="D1889" t="s">
        <v>2563</v>
      </c>
      <c r="E1889">
        <v>16</v>
      </c>
    </row>
    <row r="1890" spans="1:5">
      <c r="A1890" s="1" t="s">
        <v>2568</v>
      </c>
      <c r="B1890" s="2" t="s">
        <v>626</v>
      </c>
      <c r="D1890" t="s">
        <v>2563</v>
      </c>
      <c r="E1890">
        <v>16</v>
      </c>
    </row>
    <row r="1891" spans="1:5">
      <c r="A1891" s="1" t="s">
        <v>2569</v>
      </c>
      <c r="B1891" s="2" t="s">
        <v>630</v>
      </c>
      <c r="D1891" t="s">
        <v>2563</v>
      </c>
      <c r="E1891">
        <v>16</v>
      </c>
    </row>
    <row r="1892" spans="1:5">
      <c r="A1892" s="1" t="s">
        <v>2570</v>
      </c>
      <c r="D1892" t="s">
        <v>2563</v>
      </c>
      <c r="E1892">
        <v>16</v>
      </c>
    </row>
    <row r="1893" spans="1:5">
      <c r="A1893" s="1" t="s">
        <v>2571</v>
      </c>
      <c r="D1893" t="s">
        <v>2563</v>
      </c>
      <c r="E1893">
        <v>16</v>
      </c>
    </row>
    <row r="1894" spans="1:5">
      <c r="A1894" s="1" t="s">
        <v>2572</v>
      </c>
      <c r="D1894" t="s">
        <v>2563</v>
      </c>
      <c r="E1894">
        <v>16</v>
      </c>
    </row>
    <row r="1895" spans="1:5">
      <c r="A1895" s="1" t="s">
        <v>2573</v>
      </c>
      <c r="D1895" t="s">
        <v>2563</v>
      </c>
      <c r="E1895">
        <v>16</v>
      </c>
    </row>
    <row r="1896" spans="1:5">
      <c r="A1896" s="1" t="s">
        <v>2574</v>
      </c>
      <c r="D1896" t="s">
        <v>2563</v>
      </c>
      <c r="E1896">
        <v>16</v>
      </c>
    </row>
    <row r="1897" spans="1:5">
      <c r="A1897" s="1" t="s">
        <v>2575</v>
      </c>
      <c r="D1897" t="s">
        <v>2563</v>
      </c>
      <c r="E1897">
        <v>16</v>
      </c>
    </row>
    <row r="1898" spans="1:5">
      <c r="A1898" s="1" t="s">
        <v>2576</v>
      </c>
      <c r="B1898" s="2" t="s">
        <v>665</v>
      </c>
      <c r="D1898" t="s">
        <v>2563</v>
      </c>
      <c r="E1898">
        <v>16</v>
      </c>
    </row>
    <row r="1899" spans="1:5">
      <c r="A1899" s="1" t="s">
        <v>2577</v>
      </c>
      <c r="D1899" t="s">
        <v>2563</v>
      </c>
      <c r="E1899">
        <v>16</v>
      </c>
    </row>
    <row r="1900" spans="1:5">
      <c r="A1900" s="1" t="s">
        <v>2578</v>
      </c>
      <c r="D1900" t="s">
        <v>2563</v>
      </c>
      <c r="E1900">
        <v>16</v>
      </c>
    </row>
    <row r="1901" spans="1:5">
      <c r="A1901" s="1" t="s">
        <v>2579</v>
      </c>
      <c r="D1901" t="s">
        <v>2580</v>
      </c>
      <c r="E1901">
        <v>16</v>
      </c>
    </row>
    <row r="1902" spans="1:5">
      <c r="A1902" s="1" t="s">
        <v>2581</v>
      </c>
      <c r="D1902" t="s">
        <v>2563</v>
      </c>
      <c r="E1902">
        <v>16</v>
      </c>
    </row>
    <row r="1903" spans="1:5">
      <c r="A1903" s="1" t="s">
        <v>2582</v>
      </c>
      <c r="D1903" t="s">
        <v>2563</v>
      </c>
      <c r="E1903">
        <v>16</v>
      </c>
    </row>
    <row r="1904" spans="1:5">
      <c r="A1904" s="1" t="s">
        <v>2583</v>
      </c>
      <c r="D1904" t="s">
        <v>2563</v>
      </c>
      <c r="E1904">
        <v>16</v>
      </c>
    </row>
    <row r="1905" spans="1:5">
      <c r="A1905" s="1" t="s">
        <v>2584</v>
      </c>
      <c r="D1905" t="s">
        <v>2563</v>
      </c>
      <c r="E1905">
        <v>16</v>
      </c>
    </row>
    <row r="1906" spans="1:5">
      <c r="A1906" s="1" t="s">
        <v>2585</v>
      </c>
      <c r="B1906" s="2" t="s">
        <v>1302</v>
      </c>
      <c r="D1906" t="s">
        <v>2563</v>
      </c>
      <c r="E1906">
        <v>16</v>
      </c>
    </row>
    <row r="1907" spans="1:5">
      <c r="A1907" s="1" t="s">
        <v>2586</v>
      </c>
      <c r="D1907" t="s">
        <v>2563</v>
      </c>
      <c r="E1907">
        <v>16</v>
      </c>
    </row>
    <row r="1908" spans="1:5">
      <c r="A1908" s="1" t="s">
        <v>2587</v>
      </c>
      <c r="D1908" t="s">
        <v>2563</v>
      </c>
      <c r="E1908">
        <v>16</v>
      </c>
    </row>
    <row r="1909" spans="1:5">
      <c r="A1909" s="1" t="s">
        <v>2588</v>
      </c>
      <c r="D1909" t="s">
        <v>2563</v>
      </c>
      <c r="E1909">
        <v>16</v>
      </c>
    </row>
    <row r="1910" spans="1:5">
      <c r="A1910" s="1" t="s">
        <v>2589</v>
      </c>
      <c r="D1910" t="s">
        <v>2563</v>
      </c>
      <c r="E1910">
        <v>16</v>
      </c>
    </row>
    <row r="1911" spans="1:5">
      <c r="A1911" s="1" t="s">
        <v>2590</v>
      </c>
      <c r="D1911" t="s">
        <v>2563</v>
      </c>
      <c r="E1911">
        <v>16</v>
      </c>
    </row>
    <row r="1912" spans="1:5">
      <c r="A1912" s="1" t="s">
        <v>2591</v>
      </c>
      <c r="D1912" t="s">
        <v>2563</v>
      </c>
      <c r="E1912">
        <v>16</v>
      </c>
    </row>
    <row r="1913" spans="1:5">
      <c r="A1913" s="1" t="s">
        <v>2592</v>
      </c>
      <c r="D1913" t="s">
        <v>2563</v>
      </c>
      <c r="E1913">
        <v>16</v>
      </c>
    </row>
    <row r="1914" spans="1:5">
      <c r="A1914" s="1" t="s">
        <v>2593</v>
      </c>
      <c r="B1914" s="2" t="s">
        <v>2594</v>
      </c>
      <c r="D1914" t="s">
        <v>2563</v>
      </c>
      <c r="E1914">
        <v>16</v>
      </c>
    </row>
    <row r="1915" spans="1:5">
      <c r="A1915" s="1" t="s">
        <v>2595</v>
      </c>
      <c r="B1915" s="2" t="s">
        <v>2596</v>
      </c>
      <c r="D1915" t="s">
        <v>2563</v>
      </c>
      <c r="E1915">
        <v>16</v>
      </c>
    </row>
    <row r="1916" spans="1:5">
      <c r="A1916" s="1" t="s">
        <v>2597</v>
      </c>
      <c r="B1916" s="2" t="s">
        <v>2598</v>
      </c>
      <c r="D1916" t="s">
        <v>2563</v>
      </c>
      <c r="E1916">
        <v>16</v>
      </c>
    </row>
    <row r="1917" spans="1:5">
      <c r="A1917" s="1" t="s">
        <v>2599</v>
      </c>
      <c r="B1917" s="2" t="s">
        <v>2600</v>
      </c>
      <c r="D1917" t="s">
        <v>2563</v>
      </c>
      <c r="E1917">
        <v>16</v>
      </c>
    </row>
    <row r="1918" spans="1:5">
      <c r="A1918" s="1" t="s">
        <v>2601</v>
      </c>
      <c r="D1918" t="s">
        <v>381</v>
      </c>
      <c r="E1918">
        <v>16</v>
      </c>
    </row>
    <row r="1919" spans="1:5">
      <c r="A1919" s="1" t="s">
        <v>2602</v>
      </c>
      <c r="D1919" t="s">
        <v>381</v>
      </c>
      <c r="E1919">
        <v>16</v>
      </c>
    </row>
    <row r="1920" spans="1:5">
      <c r="A1920" s="1" t="s">
        <v>2603</v>
      </c>
      <c r="D1920" t="s">
        <v>381</v>
      </c>
      <c r="E1920">
        <v>16</v>
      </c>
    </row>
    <row r="1921" spans="1:5">
      <c r="A1921" s="1" t="s">
        <v>2604</v>
      </c>
      <c r="D1921" t="s">
        <v>381</v>
      </c>
      <c r="E1921">
        <v>16</v>
      </c>
    </row>
    <row r="1922" spans="1:5">
      <c r="A1922" s="1" t="s">
        <v>2605</v>
      </c>
      <c r="D1922" t="s">
        <v>2606</v>
      </c>
      <c r="E1922">
        <v>16</v>
      </c>
    </row>
    <row r="1923" spans="1:5">
      <c r="A1923" s="1" t="s">
        <v>2607</v>
      </c>
      <c r="D1923" t="s">
        <v>2608</v>
      </c>
      <c r="E1923">
        <v>16</v>
      </c>
    </row>
    <row r="1924" spans="1:5">
      <c r="A1924" s="1" t="s">
        <v>2609</v>
      </c>
      <c r="D1924" t="s">
        <v>2610</v>
      </c>
      <c r="E1924">
        <v>16</v>
      </c>
    </row>
    <row r="1925" spans="1:5">
      <c r="A1925" s="1" t="s">
        <v>2611</v>
      </c>
      <c r="D1925" t="s">
        <v>2612</v>
      </c>
      <c r="E1925">
        <v>16</v>
      </c>
    </row>
    <row r="1927" spans="1:5">
      <c r="A1927" s="1" t="s">
        <v>2613</v>
      </c>
      <c r="D1927" t="s">
        <v>8265</v>
      </c>
    </row>
    <row r="1930" spans="1:5">
      <c r="A1930" s="1" t="s">
        <v>2614</v>
      </c>
      <c r="D1930" t="s">
        <v>2615</v>
      </c>
      <c r="E1930">
        <v>16</v>
      </c>
    </row>
    <row r="1931" spans="1:5">
      <c r="A1931" s="1" t="s">
        <v>2616</v>
      </c>
      <c r="D1931" t="s">
        <v>2617</v>
      </c>
      <c r="E1931">
        <v>16</v>
      </c>
    </row>
    <row r="1933" spans="1:5">
      <c r="A1933" s="1" t="s">
        <v>2618</v>
      </c>
      <c r="D1933" t="s">
        <v>2619</v>
      </c>
      <c r="E1933">
        <v>16</v>
      </c>
    </row>
    <row r="1935" spans="1:5">
      <c r="A1935" s="1" t="s">
        <v>2620</v>
      </c>
      <c r="D1935" t="s">
        <v>2621</v>
      </c>
    </row>
    <row r="1937" spans="1:5">
      <c r="A1937" s="1" t="s">
        <v>2622</v>
      </c>
      <c r="D1937" t="s">
        <v>2623</v>
      </c>
      <c r="E1937">
        <v>32</v>
      </c>
    </row>
    <row r="1938" spans="1:5">
      <c r="A1938" s="1" t="s">
        <v>2624</v>
      </c>
      <c r="D1938" t="s">
        <v>2526</v>
      </c>
      <c r="E1938">
        <v>32</v>
      </c>
    </row>
    <row r="1939" spans="1:5">
      <c r="A1939" s="1" t="s">
        <v>2625</v>
      </c>
      <c r="D1939" t="s">
        <v>2626</v>
      </c>
      <c r="E1939">
        <v>32</v>
      </c>
    </row>
    <row r="1940" spans="1:5">
      <c r="A1940" s="1" t="s">
        <v>2627</v>
      </c>
      <c r="D1940" t="s">
        <v>2628</v>
      </c>
      <c r="E1940">
        <v>32</v>
      </c>
    </row>
    <row r="1941" spans="1:5">
      <c r="A1941" s="1" t="s">
        <v>2629</v>
      </c>
      <c r="D1941" t="s">
        <v>2630</v>
      </c>
      <c r="E1941">
        <v>32</v>
      </c>
    </row>
    <row r="1942" spans="1:5">
      <c r="A1942" s="1" t="s">
        <v>2631</v>
      </c>
      <c r="D1942" t="s">
        <v>2632</v>
      </c>
      <c r="E1942">
        <v>32</v>
      </c>
    </row>
    <row r="1943" spans="1:5">
      <c r="A1943" s="1" t="s">
        <v>2633</v>
      </c>
      <c r="D1943" t="s">
        <v>2634</v>
      </c>
      <c r="E1943">
        <v>32</v>
      </c>
    </row>
    <row r="1944" spans="1:5">
      <c r="A1944" s="1" t="s">
        <v>2635</v>
      </c>
      <c r="D1944" t="s">
        <v>2636</v>
      </c>
      <c r="E1944">
        <v>32</v>
      </c>
    </row>
    <row r="1945" spans="1:5">
      <c r="A1945" s="1" t="s">
        <v>2637</v>
      </c>
      <c r="D1945" t="s">
        <v>2638</v>
      </c>
      <c r="E1945">
        <v>32</v>
      </c>
    </row>
    <row r="1946" spans="1:5">
      <c r="A1946" s="1" t="s">
        <v>2639</v>
      </c>
      <c r="D1946" t="s">
        <v>2640</v>
      </c>
      <c r="E1946">
        <v>32</v>
      </c>
    </row>
    <row r="1947" spans="1:5">
      <c r="A1947" s="1" t="s">
        <v>2641</v>
      </c>
      <c r="D1947" t="s">
        <v>2642</v>
      </c>
      <c r="E1947">
        <v>32</v>
      </c>
    </row>
    <row r="1949" spans="1:5">
      <c r="A1949" s="1" t="s">
        <v>2643</v>
      </c>
      <c r="D1949" t="s">
        <v>2644</v>
      </c>
      <c r="E1949">
        <v>32</v>
      </c>
    </row>
    <row r="1950" spans="1:5">
      <c r="A1950" s="1" t="s">
        <v>2645</v>
      </c>
      <c r="D1950" t="s">
        <v>2646</v>
      </c>
      <c r="E1950">
        <v>32</v>
      </c>
    </row>
    <row r="1951" spans="1:5">
      <c r="A1951" s="1" t="s">
        <v>2647</v>
      </c>
      <c r="D1951" t="s">
        <v>2648</v>
      </c>
      <c r="E1951">
        <v>32</v>
      </c>
    </row>
    <row r="1952" spans="1:5">
      <c r="A1952" s="1" t="s">
        <v>2649</v>
      </c>
      <c r="D1952" t="s">
        <v>2650</v>
      </c>
      <c r="E1952">
        <v>32</v>
      </c>
    </row>
    <row r="1954" spans="1:6">
      <c r="A1954" s="1" t="s">
        <v>2651</v>
      </c>
      <c r="D1954" t="s">
        <v>2652</v>
      </c>
      <c r="E1954">
        <v>32</v>
      </c>
    </row>
    <row r="1955" spans="1:6">
      <c r="A1955" s="1" t="s">
        <v>2653</v>
      </c>
      <c r="D1955" t="s">
        <v>2654</v>
      </c>
      <c r="E1955">
        <v>32</v>
      </c>
    </row>
    <row r="1957" spans="1:6">
      <c r="A1957" s="1" t="s">
        <v>2655</v>
      </c>
      <c r="D1957" t="s">
        <v>2656</v>
      </c>
    </row>
    <row r="1958" spans="1:6">
      <c r="A1958" s="1" t="s">
        <v>2657</v>
      </c>
      <c r="D1958" t="s">
        <v>2658</v>
      </c>
    </row>
    <row r="1960" spans="1:6">
      <c r="A1960" s="1" t="s">
        <v>2659</v>
      </c>
      <c r="D1960" t="s">
        <v>2660</v>
      </c>
      <c r="E1960">
        <v>16</v>
      </c>
      <c r="F1960" s="3" t="s">
        <v>2661</v>
      </c>
    </row>
    <row r="1963" spans="1:6">
      <c r="A1963" s="1" t="s">
        <v>2662</v>
      </c>
      <c r="D1963" t="s">
        <v>2663</v>
      </c>
      <c r="E1963">
        <v>32</v>
      </c>
      <c r="F1963" s="3" t="s">
        <v>2664</v>
      </c>
    </row>
    <row r="1964" spans="1:6">
      <c r="A1964" s="1" t="s">
        <v>2665</v>
      </c>
      <c r="D1964" t="s">
        <v>2663</v>
      </c>
      <c r="E1964">
        <v>32</v>
      </c>
      <c r="F1964" s="3" t="s">
        <v>2664</v>
      </c>
    </row>
    <row r="1965" spans="1:6">
      <c r="A1965" s="1" t="s">
        <v>2666</v>
      </c>
      <c r="D1965" t="s">
        <v>2667</v>
      </c>
      <c r="E1965">
        <v>32</v>
      </c>
      <c r="F1965" s="3" t="s">
        <v>2668</v>
      </c>
    </row>
    <row r="1967" spans="1:6">
      <c r="A1967" s="1" t="s">
        <v>2669</v>
      </c>
      <c r="D1967" t="s">
        <v>2670</v>
      </c>
      <c r="E1967">
        <v>32</v>
      </c>
      <c r="F1967" s="3" t="s">
        <v>2664</v>
      </c>
    </row>
    <row r="1968" spans="1:6">
      <c r="A1968" s="1" t="s">
        <v>2671</v>
      </c>
      <c r="D1968" t="s">
        <v>2670</v>
      </c>
      <c r="E1968">
        <v>32</v>
      </c>
      <c r="F1968" s="3" t="s">
        <v>2664</v>
      </c>
    </row>
    <row r="1969" spans="1:7">
      <c r="A1969" s="1" t="s">
        <v>2672</v>
      </c>
      <c r="D1969" t="s">
        <v>2673</v>
      </c>
      <c r="E1969">
        <v>32</v>
      </c>
      <c r="F1969" s="3" t="s">
        <v>2668</v>
      </c>
    </row>
    <row r="1971" spans="1:7">
      <c r="A1971" s="1" t="s">
        <v>2674</v>
      </c>
      <c r="D1971" t="s">
        <v>2675</v>
      </c>
      <c r="E1971">
        <v>32</v>
      </c>
      <c r="F1971" s="3" t="s">
        <v>2664</v>
      </c>
    </row>
    <row r="1972" spans="1:7">
      <c r="A1972" s="1" t="s">
        <v>2676</v>
      </c>
      <c r="D1972" t="s">
        <v>2675</v>
      </c>
      <c r="E1972">
        <v>32</v>
      </c>
      <c r="F1972" s="3" t="s">
        <v>2664</v>
      </c>
    </row>
    <row r="1973" spans="1:7">
      <c r="A1973" s="1" t="s">
        <v>2677</v>
      </c>
      <c r="D1973" t="s">
        <v>2678</v>
      </c>
      <c r="E1973">
        <v>32</v>
      </c>
      <c r="F1973" s="3" t="s">
        <v>2668</v>
      </c>
    </row>
    <row r="1975" spans="1:7">
      <c r="A1975" s="1" t="s">
        <v>2679</v>
      </c>
      <c r="D1975" t="s">
        <v>2680</v>
      </c>
      <c r="E1975">
        <v>32</v>
      </c>
      <c r="F1975" s="3" t="s">
        <v>2664</v>
      </c>
    </row>
    <row r="1976" spans="1:7">
      <c r="A1976" s="1" t="s">
        <v>2681</v>
      </c>
      <c r="D1976" t="s">
        <v>2680</v>
      </c>
      <c r="E1976">
        <v>32</v>
      </c>
      <c r="F1976" s="3" t="s">
        <v>2664</v>
      </c>
    </row>
    <row r="1977" spans="1:7">
      <c r="A1977" s="1" t="s">
        <v>2682</v>
      </c>
      <c r="D1977" t="s">
        <v>2683</v>
      </c>
      <c r="E1977">
        <v>32</v>
      </c>
      <c r="F1977" s="3" t="s">
        <v>2668</v>
      </c>
    </row>
    <row r="1981" spans="1:7">
      <c r="A1981" s="1" t="s">
        <v>2684</v>
      </c>
      <c r="D1981" t="s">
        <v>2685</v>
      </c>
      <c r="E1981">
        <v>16</v>
      </c>
    </row>
    <row r="1982" spans="1:7">
      <c r="A1982" s="1" t="s">
        <v>2686</v>
      </c>
      <c r="D1982" t="s">
        <v>2687</v>
      </c>
      <c r="E1982">
        <v>16</v>
      </c>
      <c r="F1982" s="3" t="s">
        <v>2688</v>
      </c>
      <c r="G1982" t="s">
        <v>2689</v>
      </c>
    </row>
    <row r="1984" spans="1:7">
      <c r="A1984" s="1" t="s">
        <v>2690</v>
      </c>
      <c r="D1984" t="s">
        <v>2691</v>
      </c>
      <c r="E1984">
        <v>8</v>
      </c>
      <c r="F1984" s="3" t="s">
        <v>2692</v>
      </c>
    </row>
    <row r="1986" spans="1:6">
      <c r="A1986" s="1" t="s">
        <v>2693</v>
      </c>
      <c r="D1986" t="s">
        <v>2694</v>
      </c>
      <c r="E1986">
        <v>8</v>
      </c>
    </row>
    <row r="1988" spans="1:6">
      <c r="A1988" s="1" t="s">
        <v>2695</v>
      </c>
      <c r="D1988" t="s">
        <v>2696</v>
      </c>
      <c r="E1988">
        <v>16</v>
      </c>
      <c r="F1988" s="3" t="s">
        <v>2697</v>
      </c>
    </row>
    <row r="1989" spans="1:6">
      <c r="A1989" s="1" t="s">
        <v>2698</v>
      </c>
      <c r="D1989" t="s">
        <v>2699</v>
      </c>
      <c r="E1989">
        <v>16</v>
      </c>
    </row>
    <row r="1990" spans="1:6">
      <c r="A1990" s="1" t="s">
        <v>2700</v>
      </c>
      <c r="D1990" t="s">
        <v>2701</v>
      </c>
      <c r="E1990">
        <v>16</v>
      </c>
    </row>
    <row r="1991" spans="1:6">
      <c r="A1991" s="1" t="s">
        <v>2702</v>
      </c>
      <c r="D1991" t="s">
        <v>2703</v>
      </c>
      <c r="E1991">
        <v>16</v>
      </c>
    </row>
    <row r="1992" spans="1:6">
      <c r="A1992" s="1" t="s">
        <v>2704</v>
      </c>
      <c r="D1992" t="s">
        <v>2703</v>
      </c>
      <c r="E1992">
        <v>16</v>
      </c>
      <c r="F1992" s="3">
        <v>4</v>
      </c>
    </row>
    <row r="1993" spans="1:6">
      <c r="A1993" s="1" t="s">
        <v>2705</v>
      </c>
      <c r="D1993" t="s">
        <v>2703</v>
      </c>
      <c r="E1993">
        <v>16</v>
      </c>
      <c r="F1993" s="3">
        <v>4</v>
      </c>
    </row>
    <row r="1994" spans="1:6">
      <c r="A1994" s="1" t="s">
        <v>2706</v>
      </c>
      <c r="D1994" t="s">
        <v>2707</v>
      </c>
      <c r="E1994">
        <v>16</v>
      </c>
    </row>
    <row r="1996" spans="1:6">
      <c r="A1996" s="1" t="s">
        <v>2708</v>
      </c>
      <c r="D1996" t="s">
        <v>2709</v>
      </c>
      <c r="E1996">
        <v>8</v>
      </c>
      <c r="F1996" s="3" t="s">
        <v>2710</v>
      </c>
    </row>
    <row r="1997" spans="1:6">
      <c r="D1997" t="s">
        <v>2711</v>
      </c>
    </row>
    <row r="1999" spans="1:6">
      <c r="A1999" s="1" t="s">
        <v>2712</v>
      </c>
      <c r="B1999" s="2" t="s">
        <v>521</v>
      </c>
      <c r="D1999" t="s">
        <v>2713</v>
      </c>
      <c r="E1999">
        <v>32</v>
      </c>
      <c r="F1999" s="3" t="s">
        <v>8150</v>
      </c>
    </row>
    <row r="2001" spans="1:5">
      <c r="A2001" s="1" t="s">
        <v>8154</v>
      </c>
      <c r="B2001" s="2" t="s">
        <v>685</v>
      </c>
      <c r="D2001" t="s">
        <v>8157</v>
      </c>
      <c r="E2001">
        <v>16</v>
      </c>
    </row>
    <row r="2002" spans="1:5">
      <c r="A2002" s="1" t="s">
        <v>8159</v>
      </c>
      <c r="B2002" s="2" t="s">
        <v>8186</v>
      </c>
      <c r="D2002" t="s">
        <v>8185</v>
      </c>
      <c r="E2002">
        <v>16</v>
      </c>
    </row>
    <row r="2003" spans="1:5">
      <c r="A2003" s="1" t="s">
        <v>8166</v>
      </c>
      <c r="B2003" s="2" t="s">
        <v>8187</v>
      </c>
      <c r="D2003" t="s">
        <v>8194</v>
      </c>
      <c r="E2003">
        <v>16</v>
      </c>
    </row>
    <row r="2004" spans="1:5">
      <c r="A2004" s="1" t="s">
        <v>8167</v>
      </c>
      <c r="B2004" s="2" t="s">
        <v>8188</v>
      </c>
      <c r="D2004" t="s">
        <v>8195</v>
      </c>
      <c r="E2004">
        <v>16</v>
      </c>
    </row>
    <row r="2005" spans="1:5">
      <c r="A2005" s="1" t="s">
        <v>8168</v>
      </c>
      <c r="B2005" s="2" t="s">
        <v>8189</v>
      </c>
      <c r="D2005" t="s">
        <v>8193</v>
      </c>
      <c r="E2005">
        <v>16</v>
      </c>
    </row>
    <row r="2006" spans="1:5">
      <c r="A2006" s="1" t="s">
        <v>8163</v>
      </c>
      <c r="B2006" s="2" t="s">
        <v>8190</v>
      </c>
      <c r="E2006">
        <v>16</v>
      </c>
    </row>
    <row r="2007" spans="1:5">
      <c r="A2007" s="1" t="s">
        <v>8164</v>
      </c>
      <c r="B2007" s="2" t="s">
        <v>8191</v>
      </c>
      <c r="E2007">
        <v>16</v>
      </c>
    </row>
    <row r="2008" spans="1:5">
      <c r="A2008" s="1" t="s">
        <v>8165</v>
      </c>
      <c r="B2008" s="2" t="s">
        <v>8192</v>
      </c>
      <c r="E2008">
        <v>16</v>
      </c>
    </row>
    <row r="2010" spans="1:5">
      <c r="A2010" s="1" t="s">
        <v>2714</v>
      </c>
      <c r="D2010" t="s">
        <v>2715</v>
      </c>
      <c r="E2010">
        <v>32</v>
      </c>
    </row>
    <row r="2011" spans="1:5">
      <c r="A2011" s="1" t="s">
        <v>8155</v>
      </c>
      <c r="D2011" t="s">
        <v>8158</v>
      </c>
      <c r="E2011">
        <v>16</v>
      </c>
    </row>
    <row r="2012" spans="1:5">
      <c r="A2012" s="1" t="s">
        <v>8160</v>
      </c>
      <c r="D2012" t="s">
        <v>8161</v>
      </c>
      <c r="E2012">
        <v>16</v>
      </c>
    </row>
    <row r="2014" spans="1:5">
      <c r="A2014" s="1" t="s">
        <v>8162</v>
      </c>
      <c r="D2014" t="s">
        <v>287</v>
      </c>
      <c r="E2014">
        <v>16</v>
      </c>
    </row>
    <row r="2015" spans="1:5">
      <c r="A2015" s="1" t="s">
        <v>8153</v>
      </c>
      <c r="D2015" t="s">
        <v>8151</v>
      </c>
    </row>
    <row r="2016" spans="1:5">
      <c r="D2016" t="s">
        <v>8152</v>
      </c>
    </row>
    <row r="2018" spans="1:5">
      <c r="A2018" s="1" t="s">
        <v>2716</v>
      </c>
      <c r="D2018" t="s">
        <v>2717</v>
      </c>
      <c r="E2018">
        <v>32</v>
      </c>
    </row>
    <row r="2019" spans="1:5">
      <c r="A2019" s="1" t="s">
        <v>2718</v>
      </c>
      <c r="D2019" t="s">
        <v>2719</v>
      </c>
      <c r="E2019">
        <v>32</v>
      </c>
    </row>
    <row r="2020" spans="1:5">
      <c r="A2020" s="1" t="s">
        <v>2720</v>
      </c>
      <c r="D2020" t="s">
        <v>2721</v>
      </c>
      <c r="E2020">
        <v>32</v>
      </c>
    </row>
    <row r="2021" spans="1:5">
      <c r="A2021" s="1" t="s">
        <v>2722</v>
      </c>
      <c r="D2021" t="s">
        <v>2723</v>
      </c>
      <c r="E2021">
        <v>32</v>
      </c>
    </row>
    <row r="2022" spans="1:5">
      <c r="A2022" s="1" t="s">
        <v>2724</v>
      </c>
      <c r="D2022" t="s">
        <v>2725</v>
      </c>
      <c r="E2022">
        <v>8</v>
      </c>
    </row>
    <row r="2023" spans="1:5">
      <c r="A2023" s="1" t="s">
        <v>2726</v>
      </c>
    </row>
    <row r="2024" spans="1:5">
      <c r="A2024" s="1" t="s">
        <v>2727</v>
      </c>
    </row>
    <row r="2026" spans="1:5">
      <c r="A2026" s="1" t="s">
        <v>2728</v>
      </c>
      <c r="D2026" t="s">
        <v>2729</v>
      </c>
      <c r="E2026">
        <v>16</v>
      </c>
    </row>
    <row r="2027" spans="1:5">
      <c r="A2027" s="1" t="s">
        <v>2730</v>
      </c>
      <c r="D2027" t="s">
        <v>2731</v>
      </c>
      <c r="E2027">
        <v>8</v>
      </c>
    </row>
    <row r="2028" spans="1:5">
      <c r="A2028" s="1" t="s">
        <v>2732</v>
      </c>
      <c r="D2028" t="s">
        <v>2733</v>
      </c>
      <c r="E2028">
        <v>16</v>
      </c>
    </row>
    <row r="2029" spans="1:5">
      <c r="A2029" s="1" t="s">
        <v>2734</v>
      </c>
      <c r="D2029" t="s">
        <v>2735</v>
      </c>
      <c r="E2029">
        <v>8</v>
      </c>
    </row>
    <row r="2030" spans="1:5">
      <c r="A2030" s="1" t="s">
        <v>2736</v>
      </c>
      <c r="D2030" t="s">
        <v>2737</v>
      </c>
      <c r="E2030">
        <v>16</v>
      </c>
    </row>
    <row r="2033" spans="1:7">
      <c r="A2033" s="1" t="s">
        <v>2738</v>
      </c>
      <c r="D2033" t="s">
        <v>2739</v>
      </c>
      <c r="E2033">
        <v>32</v>
      </c>
    </row>
    <row r="2034" spans="1:7">
      <c r="F2034" s="3" t="s">
        <v>2740</v>
      </c>
    </row>
    <row r="2035" spans="1:7">
      <c r="A2035" s="30" t="s">
        <v>2741</v>
      </c>
      <c r="B2035" s="31" t="s">
        <v>521</v>
      </c>
      <c r="C2035" s="31"/>
      <c r="D2035" s="32" t="s">
        <v>2742</v>
      </c>
      <c r="E2035" s="32">
        <v>32</v>
      </c>
      <c r="F2035" s="33" t="s">
        <v>2743</v>
      </c>
      <c r="G2035" t="s">
        <v>2744</v>
      </c>
    </row>
    <row r="2036" spans="1:7">
      <c r="A2036" s="30" t="s">
        <v>2745</v>
      </c>
      <c r="B2036" s="31" t="s">
        <v>536</v>
      </c>
      <c r="C2036" s="31"/>
      <c r="D2036" s="32" t="s">
        <v>2746</v>
      </c>
      <c r="E2036" s="32">
        <v>32</v>
      </c>
      <c r="F2036" s="33" t="s">
        <v>2747</v>
      </c>
    </row>
    <row r="2037" spans="1:7">
      <c r="A2037" s="30" t="s">
        <v>2748</v>
      </c>
      <c r="B2037" s="31" t="s">
        <v>551</v>
      </c>
      <c r="C2037" s="31"/>
      <c r="D2037" s="32" t="s">
        <v>2746</v>
      </c>
      <c r="E2037" s="32">
        <v>32</v>
      </c>
      <c r="F2037" s="33"/>
    </row>
    <row r="2038" spans="1:7">
      <c r="A2038" s="30" t="s">
        <v>2749</v>
      </c>
      <c r="B2038" s="31" t="s">
        <v>563</v>
      </c>
      <c r="C2038" s="31"/>
      <c r="D2038" s="32" t="s">
        <v>2750</v>
      </c>
      <c r="E2038" s="32">
        <v>32</v>
      </c>
      <c r="F2038" s="33"/>
    </row>
    <row r="2039" spans="1:7">
      <c r="A2039" s="30" t="s">
        <v>2751</v>
      </c>
      <c r="B2039" s="31" t="s">
        <v>575</v>
      </c>
      <c r="C2039" s="31"/>
      <c r="D2039" s="32" t="s">
        <v>2752</v>
      </c>
      <c r="E2039" s="32">
        <v>16</v>
      </c>
      <c r="F2039" s="33" t="s">
        <v>2753</v>
      </c>
      <c r="G2039" t="s">
        <v>2754</v>
      </c>
    </row>
    <row r="2040" spans="1:7">
      <c r="A2040" s="30" t="s">
        <v>2755</v>
      </c>
      <c r="B2040" s="31" t="s">
        <v>581</v>
      </c>
      <c r="C2040" s="31"/>
      <c r="D2040" s="32" t="s">
        <v>2756</v>
      </c>
      <c r="E2040" s="32">
        <v>8</v>
      </c>
      <c r="F2040" s="33"/>
    </row>
    <row r="2041" spans="1:7">
      <c r="A2041" s="30" t="s">
        <v>2757</v>
      </c>
      <c r="B2041" s="31" t="s">
        <v>584</v>
      </c>
      <c r="C2041" s="31"/>
      <c r="D2041" s="32" t="s">
        <v>2756</v>
      </c>
      <c r="E2041" s="32">
        <v>8</v>
      </c>
      <c r="F2041" s="33"/>
    </row>
    <row r="2042" spans="1:7">
      <c r="A2042" s="30" t="s">
        <v>2758</v>
      </c>
      <c r="B2042" s="31" t="s">
        <v>587</v>
      </c>
      <c r="C2042" s="31"/>
      <c r="D2042" s="32" t="s">
        <v>382</v>
      </c>
      <c r="E2042" s="32">
        <v>32</v>
      </c>
      <c r="F2042" s="33"/>
    </row>
    <row r="2043" spans="1:7">
      <c r="A2043" s="30" t="s">
        <v>2759</v>
      </c>
      <c r="B2043" s="31" t="s">
        <v>601</v>
      </c>
      <c r="C2043" s="31"/>
      <c r="D2043" s="32" t="s">
        <v>2760</v>
      </c>
      <c r="E2043" s="32">
        <v>32</v>
      </c>
      <c r="F2043" s="33" t="s">
        <v>2761</v>
      </c>
    </row>
    <row r="2044" spans="1:7">
      <c r="A2044" s="30" t="s">
        <v>2762</v>
      </c>
      <c r="B2044" s="31" t="s">
        <v>615</v>
      </c>
      <c r="C2044" s="31"/>
      <c r="D2044" s="32" t="s">
        <v>2763</v>
      </c>
      <c r="E2044" s="32">
        <v>32</v>
      </c>
      <c r="F2044" s="33" t="s">
        <v>2764</v>
      </c>
    </row>
    <row r="2045" spans="1:7">
      <c r="A2045" s="30" t="s">
        <v>2765</v>
      </c>
      <c r="B2045" s="31" t="s">
        <v>626</v>
      </c>
      <c r="C2045" s="31"/>
      <c r="D2045" s="32" t="s">
        <v>2766</v>
      </c>
      <c r="E2045" s="32">
        <v>32</v>
      </c>
      <c r="F2045" s="33" t="s">
        <v>2767</v>
      </c>
    </row>
    <row r="2046" spans="1:7">
      <c r="A2046" s="30" t="s">
        <v>2768</v>
      </c>
      <c r="B2046" s="31" t="s">
        <v>638</v>
      </c>
      <c r="C2046" s="31"/>
      <c r="D2046" s="32" t="s">
        <v>2769</v>
      </c>
      <c r="E2046" s="32">
        <v>32</v>
      </c>
      <c r="F2046" s="33"/>
    </row>
    <row r="2047" spans="1:7">
      <c r="A2047" s="30" t="s">
        <v>2770</v>
      </c>
      <c r="B2047" s="31" t="s">
        <v>653</v>
      </c>
      <c r="C2047" s="31"/>
      <c r="D2047" s="32" t="s">
        <v>2771</v>
      </c>
      <c r="E2047" s="32">
        <v>32</v>
      </c>
      <c r="F2047" s="33"/>
    </row>
    <row r="2048" spans="1:7">
      <c r="A2048" s="30" t="s">
        <v>2772</v>
      </c>
      <c r="B2048" s="31" t="s">
        <v>659</v>
      </c>
      <c r="C2048" s="31"/>
      <c r="D2048" s="32" t="s">
        <v>2773</v>
      </c>
      <c r="E2048" s="32">
        <v>32</v>
      </c>
      <c r="F2048" s="33"/>
    </row>
    <row r="2049" spans="1:6">
      <c r="A2049" s="30" t="s">
        <v>2774</v>
      </c>
      <c r="B2049" s="31" t="s">
        <v>665</v>
      </c>
      <c r="C2049" s="31"/>
      <c r="D2049" s="32" t="s">
        <v>2775</v>
      </c>
      <c r="E2049" s="32">
        <v>32</v>
      </c>
      <c r="F2049" s="33"/>
    </row>
    <row r="2050" spans="1:6">
      <c r="A2050" s="30" t="s">
        <v>2776</v>
      </c>
      <c r="B2050" s="31" t="s">
        <v>681</v>
      </c>
      <c r="C2050" s="31"/>
      <c r="D2050" s="32" t="s">
        <v>2777</v>
      </c>
      <c r="E2050" s="32">
        <v>32</v>
      </c>
      <c r="F2050" s="33"/>
    </row>
    <row r="2051" spans="1:6">
      <c r="A2051" s="30" t="s">
        <v>2778</v>
      </c>
      <c r="B2051" s="31" t="s">
        <v>685</v>
      </c>
      <c r="C2051" s="31"/>
      <c r="D2051" s="32" t="s">
        <v>2779</v>
      </c>
      <c r="E2051" s="32">
        <v>32</v>
      </c>
      <c r="F2051" s="33"/>
    </row>
    <row r="2052" spans="1:6">
      <c r="A2052" s="30" t="s">
        <v>2780</v>
      </c>
      <c r="B2052" s="31" t="s">
        <v>2503</v>
      </c>
      <c r="C2052" s="31"/>
      <c r="D2052" s="32" t="s">
        <v>2781</v>
      </c>
      <c r="E2052" s="32">
        <v>16</v>
      </c>
      <c r="F2052" s="33"/>
    </row>
    <row r="2053" spans="1:6">
      <c r="A2053" s="30" t="s">
        <v>2782</v>
      </c>
      <c r="B2053" s="31" t="s">
        <v>2783</v>
      </c>
      <c r="C2053" s="31"/>
      <c r="D2053" s="32" t="s">
        <v>2784</v>
      </c>
      <c r="E2053" s="32">
        <v>16</v>
      </c>
      <c r="F2053" s="33"/>
    </row>
    <row r="2054" spans="1:6">
      <c r="A2054" s="30" t="s">
        <v>2785</v>
      </c>
      <c r="B2054" s="31" t="s">
        <v>1302</v>
      </c>
      <c r="C2054" s="31"/>
      <c r="D2054" s="32"/>
      <c r="E2054" s="32"/>
      <c r="F2054" s="33"/>
    </row>
    <row r="2055" spans="1:6">
      <c r="A2055" s="30"/>
      <c r="B2055" s="31"/>
      <c r="C2055" s="31"/>
      <c r="D2055" s="32"/>
      <c r="E2055" s="32"/>
      <c r="F2055" s="33"/>
    </row>
    <row r="2056" spans="1:6">
      <c r="A2056" s="30"/>
      <c r="B2056" s="31"/>
      <c r="C2056" s="31"/>
      <c r="D2056" s="32"/>
      <c r="E2056" s="32"/>
      <c r="F2056" s="33"/>
    </row>
    <row r="2057" spans="1:6">
      <c r="A2057" s="30" t="s">
        <v>2786</v>
      </c>
      <c r="B2057" s="31" t="s">
        <v>2514</v>
      </c>
      <c r="C2057" s="31"/>
      <c r="D2057" s="32" t="s">
        <v>2787</v>
      </c>
      <c r="E2057" s="32">
        <v>32</v>
      </c>
      <c r="F2057" s="33" t="s">
        <v>2788</v>
      </c>
    </row>
    <row r="2058" spans="1:6">
      <c r="A2058" s="30" t="s">
        <v>2789</v>
      </c>
      <c r="B2058" s="31" t="s">
        <v>2518</v>
      </c>
      <c r="C2058" s="31"/>
      <c r="D2058" s="32" t="s">
        <v>2790</v>
      </c>
      <c r="E2058" s="32">
        <v>16</v>
      </c>
      <c r="F2058" s="33" t="s">
        <v>2791</v>
      </c>
    </row>
    <row r="2059" spans="1:6">
      <c r="A2059" s="30" t="s">
        <v>2792</v>
      </c>
      <c r="B2059" s="31" t="s">
        <v>2793</v>
      </c>
      <c r="C2059" s="31"/>
      <c r="D2059" s="32" t="s">
        <v>2794</v>
      </c>
      <c r="E2059" s="32">
        <v>16</v>
      </c>
      <c r="F2059" s="33"/>
    </row>
    <row r="2060" spans="1:6">
      <c r="A2060" s="30" t="s">
        <v>2795</v>
      </c>
      <c r="B2060" s="31" t="s">
        <v>2594</v>
      </c>
      <c r="C2060" s="31"/>
      <c r="D2060" s="32" t="s">
        <v>2796</v>
      </c>
      <c r="E2060" s="32">
        <v>16</v>
      </c>
      <c r="F2060" s="33"/>
    </row>
    <row r="2061" spans="1:6">
      <c r="A2061" s="30"/>
      <c r="B2061" s="31"/>
      <c r="C2061" s="31"/>
      <c r="D2061" s="32"/>
      <c r="E2061" s="32"/>
      <c r="F2061" s="33"/>
    </row>
    <row r="2062" spans="1:6">
      <c r="A2062" s="30" t="s">
        <v>2797</v>
      </c>
      <c r="B2062" s="31" t="s">
        <v>2798</v>
      </c>
      <c r="C2062" s="31"/>
      <c r="D2062" s="32" t="s">
        <v>2799</v>
      </c>
      <c r="E2062" s="32">
        <v>16</v>
      </c>
      <c r="F2062" s="33" t="s">
        <v>2800</v>
      </c>
    </row>
    <row r="2063" spans="1:6">
      <c r="A2063" s="30"/>
      <c r="B2063" s="31"/>
      <c r="C2063" s="31"/>
      <c r="D2063" s="32"/>
      <c r="E2063" s="32"/>
      <c r="F2063" s="33"/>
    </row>
    <row r="2064" spans="1:6">
      <c r="A2064" s="30" t="s">
        <v>2801</v>
      </c>
      <c r="B2064" s="31" t="s">
        <v>2802</v>
      </c>
      <c r="C2064" s="31"/>
      <c r="D2064" s="32" t="s">
        <v>2803</v>
      </c>
      <c r="E2064" s="32">
        <v>32</v>
      </c>
      <c r="F2064" s="33" t="s">
        <v>2804</v>
      </c>
    </row>
    <row r="2065" spans="1:6">
      <c r="A2065" s="30" t="s">
        <v>2805</v>
      </c>
      <c r="B2065" s="31" t="s">
        <v>2806</v>
      </c>
      <c r="C2065" s="31"/>
      <c r="D2065" s="32"/>
      <c r="E2065" s="32">
        <v>32</v>
      </c>
      <c r="F2065" s="33"/>
    </row>
    <row r="2066" spans="1:6">
      <c r="A2066" s="30" t="s">
        <v>2807</v>
      </c>
      <c r="B2066" s="31" t="s">
        <v>2808</v>
      </c>
      <c r="C2066" s="31"/>
      <c r="D2066" s="32" t="s">
        <v>2809</v>
      </c>
      <c r="E2066" s="32">
        <v>32</v>
      </c>
      <c r="F2066" s="33"/>
    </row>
    <row r="2067" spans="1:6">
      <c r="A2067" s="30" t="s">
        <v>2810</v>
      </c>
      <c r="B2067" s="31" t="s">
        <v>2811</v>
      </c>
      <c r="C2067" s="31"/>
      <c r="D2067" s="32"/>
      <c r="E2067" s="32">
        <v>32</v>
      </c>
      <c r="F2067" s="33"/>
    </row>
    <row r="2068" spans="1:6">
      <c r="A2068" s="30" t="s">
        <v>2812</v>
      </c>
      <c r="B2068" s="31" t="s">
        <v>2813</v>
      </c>
      <c r="C2068" s="31"/>
      <c r="D2068" s="32" t="s">
        <v>2814</v>
      </c>
      <c r="E2068" s="32">
        <v>32</v>
      </c>
      <c r="F2068" s="33"/>
    </row>
    <row r="2069" spans="1:6">
      <c r="A2069" s="30" t="s">
        <v>2815</v>
      </c>
      <c r="B2069" s="31" t="s">
        <v>2816</v>
      </c>
      <c r="C2069" s="31"/>
      <c r="D2069" s="32" t="s">
        <v>2817</v>
      </c>
      <c r="E2069" s="32">
        <v>32</v>
      </c>
      <c r="F2069" s="33"/>
    </row>
    <row r="2070" spans="1:6">
      <c r="A2070" s="30" t="s">
        <v>2818</v>
      </c>
      <c r="B2070" s="31" t="s">
        <v>2522</v>
      </c>
      <c r="C2070" s="31"/>
      <c r="D2070" s="32" t="s">
        <v>2819</v>
      </c>
      <c r="E2070" s="32">
        <v>32</v>
      </c>
      <c r="F2070" s="33"/>
    </row>
    <row r="2071" spans="1:6">
      <c r="A2071" s="30" t="s">
        <v>2820</v>
      </c>
      <c r="B2071" s="31" t="s">
        <v>2821</v>
      </c>
      <c r="C2071" s="31"/>
      <c r="D2071" s="32" t="s">
        <v>2822</v>
      </c>
      <c r="E2071" s="32">
        <v>32</v>
      </c>
      <c r="F2071" s="33"/>
    </row>
    <row r="2072" spans="1:6">
      <c r="A2072" s="30" t="s">
        <v>2823</v>
      </c>
      <c r="B2072" s="31" t="s">
        <v>2824</v>
      </c>
      <c r="C2072" s="31"/>
      <c r="D2072" s="32" t="s">
        <v>2825</v>
      </c>
      <c r="E2072" s="32">
        <v>32</v>
      </c>
      <c r="F2072" s="33"/>
    </row>
    <row r="2073" spans="1:6">
      <c r="A2073" s="30" t="s">
        <v>2826</v>
      </c>
      <c r="B2073" s="31" t="s">
        <v>2827</v>
      </c>
      <c r="C2073" s="31"/>
      <c r="D2073" s="32" t="s">
        <v>2828</v>
      </c>
      <c r="E2073" s="32">
        <v>32</v>
      </c>
      <c r="F2073" s="33"/>
    </row>
    <row r="2074" spans="1:6">
      <c r="A2074" s="30" t="s">
        <v>2829</v>
      </c>
      <c r="B2074" s="31" t="s">
        <v>2830</v>
      </c>
      <c r="C2074" s="31"/>
      <c r="D2074" s="32" t="s">
        <v>2831</v>
      </c>
      <c r="E2074" s="32">
        <v>8</v>
      </c>
      <c r="F2074" s="33" t="s">
        <v>2832</v>
      </c>
    </row>
    <row r="2075" spans="1:6">
      <c r="A2075" s="30" t="s">
        <v>2833</v>
      </c>
      <c r="B2075" s="31" t="s">
        <v>2834</v>
      </c>
      <c r="C2075" s="31"/>
      <c r="D2075" s="32"/>
      <c r="E2075" s="32">
        <v>8</v>
      </c>
      <c r="F2075" s="33"/>
    </row>
    <row r="2076" spans="1:6">
      <c r="A2076" s="30" t="s">
        <v>2835</v>
      </c>
      <c r="B2076" s="31" t="s">
        <v>2836</v>
      </c>
      <c r="C2076" s="31"/>
      <c r="D2076" s="32" t="s">
        <v>2837</v>
      </c>
      <c r="E2076" s="32">
        <v>16</v>
      </c>
      <c r="F2076" s="33" t="s">
        <v>2838</v>
      </c>
    </row>
    <row r="2077" spans="1:6">
      <c r="A2077" s="30" t="s">
        <v>2839</v>
      </c>
      <c r="B2077" s="31" t="s">
        <v>2840</v>
      </c>
      <c r="C2077" s="31"/>
      <c r="D2077" s="32"/>
      <c r="E2077" s="32">
        <v>16</v>
      </c>
      <c r="F2077" s="33"/>
    </row>
    <row r="2078" spans="1:6">
      <c r="A2078" s="30" t="s">
        <v>2841</v>
      </c>
      <c r="B2078" s="31" t="s">
        <v>2842</v>
      </c>
      <c r="C2078" s="31"/>
      <c r="D2078" s="32" t="s">
        <v>2843</v>
      </c>
      <c r="E2078" s="32">
        <v>16</v>
      </c>
      <c r="F2078" s="33"/>
    </row>
    <row r="2079" spans="1:6">
      <c r="A2079" s="30" t="s">
        <v>2844</v>
      </c>
      <c r="B2079" s="31" t="s">
        <v>2845</v>
      </c>
      <c r="C2079" s="31"/>
      <c r="D2079" s="32" t="s">
        <v>2846</v>
      </c>
      <c r="E2079" s="32">
        <v>32</v>
      </c>
      <c r="F2079" s="33"/>
    </row>
    <row r="2080" spans="1:6">
      <c r="A2080" s="30" t="s">
        <v>2847</v>
      </c>
      <c r="B2080" s="31" t="s">
        <v>2848</v>
      </c>
      <c r="C2080" s="31"/>
      <c r="D2080" s="32" t="s">
        <v>2849</v>
      </c>
      <c r="E2080" s="32">
        <v>32</v>
      </c>
      <c r="F2080" s="33"/>
    </row>
    <row r="2083" spans="1:7">
      <c r="A2083" s="1" t="s">
        <v>2850</v>
      </c>
      <c r="D2083" t="s">
        <v>2851</v>
      </c>
    </row>
    <row r="2085" spans="1:7">
      <c r="A2085" s="1" t="s">
        <v>2852</v>
      </c>
      <c r="D2085" s="10" t="s">
        <v>2853</v>
      </c>
      <c r="E2085" s="10">
        <v>8</v>
      </c>
      <c r="F2085" s="11" t="s">
        <v>632</v>
      </c>
    </row>
    <row r="2086" spans="1:7">
      <c r="G2086" t="s">
        <v>2854</v>
      </c>
    </row>
    <row r="2088" spans="1:7">
      <c r="A2088" s="34" t="s">
        <v>2855</v>
      </c>
      <c r="B2088" s="35" t="s">
        <v>521</v>
      </c>
      <c r="C2088" s="35"/>
      <c r="D2088" s="36" t="s">
        <v>2856</v>
      </c>
      <c r="E2088" s="36">
        <v>32</v>
      </c>
      <c r="F2088" s="37" t="s">
        <v>2857</v>
      </c>
      <c r="G2088" s="36" t="s">
        <v>2858</v>
      </c>
    </row>
    <row r="2089" spans="1:7">
      <c r="A2089" s="34" t="s">
        <v>2859</v>
      </c>
      <c r="B2089" s="35" t="s">
        <v>536</v>
      </c>
      <c r="C2089" s="35"/>
      <c r="D2089" s="36" t="s">
        <v>2860</v>
      </c>
      <c r="E2089" s="36">
        <v>32</v>
      </c>
      <c r="F2089" s="37" t="s">
        <v>2861</v>
      </c>
      <c r="G2089" s="36"/>
    </row>
    <row r="2090" spans="1:7">
      <c r="A2090" s="34" t="s">
        <v>2862</v>
      </c>
      <c r="B2090" s="35" t="s">
        <v>551</v>
      </c>
      <c r="C2090" s="35"/>
      <c r="D2090" s="36" t="s">
        <v>2863</v>
      </c>
      <c r="E2090" s="36">
        <v>32</v>
      </c>
      <c r="F2090" s="37"/>
      <c r="G2090" s="36"/>
    </row>
    <row r="2091" spans="1:7">
      <c r="A2091" s="34" t="s">
        <v>2864</v>
      </c>
      <c r="B2091" s="35" t="s">
        <v>563</v>
      </c>
      <c r="C2091" s="35"/>
      <c r="D2091" s="36" t="s">
        <v>2865</v>
      </c>
      <c r="E2091" s="36">
        <v>32</v>
      </c>
      <c r="F2091" s="37" t="s">
        <v>882</v>
      </c>
      <c r="G2091" s="36"/>
    </row>
    <row r="2092" spans="1:7">
      <c r="A2092" s="34" t="s">
        <v>2866</v>
      </c>
      <c r="B2092" s="35" t="s">
        <v>575</v>
      </c>
      <c r="C2092" s="35"/>
      <c r="D2092" s="36" t="s">
        <v>2867</v>
      </c>
      <c r="E2092" s="36">
        <v>32</v>
      </c>
      <c r="F2092" s="37" t="s">
        <v>882</v>
      </c>
      <c r="G2092" s="36"/>
    </row>
    <row r="2093" spans="1:7">
      <c r="A2093" s="34" t="s">
        <v>2868</v>
      </c>
      <c r="B2093" s="35" t="s">
        <v>587</v>
      </c>
      <c r="C2093" s="35"/>
      <c r="D2093" s="36" t="s">
        <v>2869</v>
      </c>
      <c r="E2093" s="36">
        <v>32</v>
      </c>
      <c r="F2093" s="37" t="s">
        <v>2870</v>
      </c>
      <c r="G2093" s="36"/>
    </row>
    <row r="2094" spans="1:7">
      <c r="A2094" s="34" t="s">
        <v>2871</v>
      </c>
      <c r="B2094" s="35" t="s">
        <v>601</v>
      </c>
      <c r="C2094" s="35"/>
      <c r="D2094" s="36" t="s">
        <v>2872</v>
      </c>
      <c r="E2094" s="36">
        <v>16</v>
      </c>
      <c r="F2094" s="37"/>
      <c r="G2094" s="36"/>
    </row>
    <row r="2095" spans="1:7">
      <c r="A2095" s="34" t="s">
        <v>2873</v>
      </c>
      <c r="B2095" s="35" t="s">
        <v>609</v>
      </c>
      <c r="C2095" s="35"/>
      <c r="D2095" s="36" t="s">
        <v>2874</v>
      </c>
      <c r="E2095" s="36">
        <v>16</v>
      </c>
      <c r="F2095" s="37" t="s">
        <v>8206</v>
      </c>
      <c r="G2095" s="36"/>
    </row>
    <row r="2096" spans="1:7">
      <c r="A2096" s="34" t="s">
        <v>2875</v>
      </c>
      <c r="B2096" s="35" t="s">
        <v>615</v>
      </c>
      <c r="C2096" s="35"/>
      <c r="D2096" s="36" t="s">
        <v>2876</v>
      </c>
      <c r="E2096" s="36">
        <v>16</v>
      </c>
      <c r="F2096" s="37"/>
      <c r="G2096" s="36"/>
    </row>
    <row r="2097" spans="1:7">
      <c r="A2097" s="34" t="s">
        <v>2877</v>
      </c>
      <c r="B2097" s="35" t="s">
        <v>619</v>
      </c>
      <c r="C2097" s="35"/>
      <c r="D2097" s="36" t="s">
        <v>249</v>
      </c>
      <c r="E2097" s="36">
        <v>16</v>
      </c>
      <c r="F2097" s="37"/>
      <c r="G2097" s="36" t="s">
        <v>2878</v>
      </c>
    </row>
    <row r="2098" spans="1:7">
      <c r="A2098" s="34" t="s">
        <v>2879</v>
      </c>
      <c r="B2098" s="35" t="s">
        <v>626</v>
      </c>
      <c r="C2098" s="35"/>
      <c r="D2098" s="36" t="s">
        <v>2880</v>
      </c>
      <c r="E2098" s="36">
        <v>16</v>
      </c>
      <c r="F2098" s="37"/>
      <c r="G2098" s="36"/>
    </row>
    <row r="2099" spans="1:7">
      <c r="A2099" s="34" t="s">
        <v>2881</v>
      </c>
      <c r="B2099" s="35" t="s">
        <v>630</v>
      </c>
      <c r="C2099" s="35"/>
      <c r="D2099" s="36" t="s">
        <v>8211</v>
      </c>
      <c r="E2099" s="36">
        <v>16</v>
      </c>
      <c r="F2099" s="37"/>
      <c r="G2099" s="36"/>
    </row>
    <row r="2100" spans="1:7">
      <c r="A2100" s="34" t="s">
        <v>2882</v>
      </c>
      <c r="B2100" s="35" t="s">
        <v>638</v>
      </c>
      <c r="C2100" s="35"/>
      <c r="D2100" s="36" t="s">
        <v>2883</v>
      </c>
      <c r="E2100" s="36">
        <v>16</v>
      </c>
      <c r="F2100" s="37" t="s">
        <v>2884</v>
      </c>
      <c r="G2100" s="36"/>
    </row>
    <row r="2101" spans="1:7">
      <c r="A2101" s="34" t="s">
        <v>2885</v>
      </c>
      <c r="B2101" s="35" t="s">
        <v>645</v>
      </c>
      <c r="C2101" s="35"/>
      <c r="D2101" s="36" t="s">
        <v>2886</v>
      </c>
      <c r="E2101" s="36">
        <v>16</v>
      </c>
      <c r="F2101" s="37"/>
      <c r="G2101" s="36"/>
    </row>
    <row r="2102" spans="1:7" ht="12.75" customHeight="1">
      <c r="A2102" s="34" t="s">
        <v>2887</v>
      </c>
      <c r="B2102" s="35" t="s">
        <v>653</v>
      </c>
      <c r="C2102" s="35"/>
      <c r="D2102" s="36" t="s">
        <v>2888</v>
      </c>
      <c r="E2102" s="36">
        <v>16</v>
      </c>
      <c r="F2102" s="37"/>
      <c r="G2102" s="36"/>
    </row>
    <row r="2103" spans="1:7">
      <c r="A2103" s="34" t="s">
        <v>2889</v>
      </c>
      <c r="B2103" s="35" t="s">
        <v>656</v>
      </c>
      <c r="C2103" s="35"/>
      <c r="D2103" s="36" t="s">
        <v>2890</v>
      </c>
      <c r="E2103" s="36">
        <v>16</v>
      </c>
      <c r="F2103" s="37" t="s">
        <v>2891</v>
      </c>
      <c r="G2103" s="36"/>
    </row>
    <row r="2104" spans="1:7">
      <c r="A2104" s="34" t="s">
        <v>2892</v>
      </c>
      <c r="B2104" s="35" t="s">
        <v>659</v>
      </c>
      <c r="C2104" s="35"/>
      <c r="D2104" s="36" t="s">
        <v>2893</v>
      </c>
      <c r="E2104" s="36">
        <v>16</v>
      </c>
      <c r="F2104" s="37"/>
      <c r="G2104" s="36"/>
    </row>
    <row r="2105" spans="1:7">
      <c r="A2105" s="34" t="s">
        <v>2894</v>
      </c>
      <c r="B2105" s="35" t="s">
        <v>662</v>
      </c>
      <c r="C2105" s="35"/>
      <c r="D2105" s="36" t="s">
        <v>2895</v>
      </c>
      <c r="E2105" s="36">
        <v>16</v>
      </c>
      <c r="F2105" s="37"/>
      <c r="G2105" s="36"/>
    </row>
    <row r="2106" spans="1:7">
      <c r="A2106" s="34" t="s">
        <v>2896</v>
      </c>
      <c r="B2106" s="35" t="s">
        <v>665</v>
      </c>
      <c r="C2106" s="35"/>
      <c r="D2106" s="36" t="s">
        <v>2897</v>
      </c>
      <c r="E2106" s="36">
        <v>16</v>
      </c>
      <c r="F2106" s="37" t="s">
        <v>2898</v>
      </c>
      <c r="G2106" s="36"/>
    </row>
    <row r="2107" spans="1:7">
      <c r="A2107" s="34" t="s">
        <v>2899</v>
      </c>
      <c r="B2107" s="35" t="s">
        <v>2900</v>
      </c>
      <c r="C2107" s="35"/>
      <c r="D2107" s="36" t="s">
        <v>8210</v>
      </c>
      <c r="E2107" s="36">
        <v>16</v>
      </c>
      <c r="F2107" s="37">
        <v>0</v>
      </c>
      <c r="G2107" s="36"/>
    </row>
    <row r="2108" spans="1:7">
      <c r="A2108" s="34" t="s">
        <v>2901</v>
      </c>
      <c r="B2108" s="35" t="s">
        <v>681</v>
      </c>
      <c r="C2108" s="35"/>
      <c r="D2108" s="36" t="s">
        <v>192</v>
      </c>
      <c r="E2108" s="36">
        <v>16</v>
      </c>
      <c r="F2108" s="37">
        <v>0</v>
      </c>
      <c r="G2108" s="36"/>
    </row>
    <row r="2109" spans="1:7">
      <c r="A2109" s="34" t="s">
        <v>2902</v>
      </c>
      <c r="B2109" s="35" t="s">
        <v>2903</v>
      </c>
      <c r="C2109" s="35"/>
      <c r="D2109" s="36" t="s">
        <v>2904</v>
      </c>
      <c r="E2109" s="36">
        <v>16</v>
      </c>
      <c r="F2109" s="37">
        <v>0</v>
      </c>
      <c r="G2109" s="36"/>
    </row>
    <row r="2110" spans="1:7">
      <c r="A2110" s="34" t="s">
        <v>2905</v>
      </c>
      <c r="B2110" s="35" t="s">
        <v>685</v>
      </c>
      <c r="C2110" s="35"/>
      <c r="D2110" s="36" t="s">
        <v>8213</v>
      </c>
      <c r="E2110" s="36">
        <v>16</v>
      </c>
      <c r="F2110" s="37" t="s">
        <v>2906</v>
      </c>
      <c r="G2110" s="36"/>
    </row>
    <row r="2111" spans="1:7">
      <c r="A2111" s="34" t="s">
        <v>2907</v>
      </c>
      <c r="B2111" s="35" t="s">
        <v>688</v>
      </c>
      <c r="C2111" s="35"/>
      <c r="D2111" s="36" t="s">
        <v>2908</v>
      </c>
      <c r="E2111" s="36">
        <v>16</v>
      </c>
      <c r="F2111" s="37"/>
      <c r="G2111" s="36"/>
    </row>
    <row r="2112" spans="1:7">
      <c r="A2112" s="34" t="s">
        <v>2909</v>
      </c>
      <c r="B2112" s="35" t="s">
        <v>2503</v>
      </c>
      <c r="C2112" s="35"/>
      <c r="D2112" s="36" t="s">
        <v>8269</v>
      </c>
      <c r="E2112" s="36">
        <v>16</v>
      </c>
      <c r="F2112" s="37" t="s">
        <v>8268</v>
      </c>
      <c r="G2112" s="36"/>
    </row>
    <row r="2113" spans="1:8">
      <c r="A2113" s="34" t="s">
        <v>2910</v>
      </c>
      <c r="B2113" s="35" t="s">
        <v>2783</v>
      </c>
      <c r="C2113" s="35"/>
      <c r="D2113" s="36"/>
      <c r="E2113" s="36"/>
      <c r="F2113" s="37"/>
      <c r="G2113" s="36"/>
    </row>
    <row r="2114" spans="1:8">
      <c r="A2114" s="34" t="s">
        <v>2911</v>
      </c>
      <c r="B2114" s="35" t="s">
        <v>1302</v>
      </c>
      <c r="C2114" s="35"/>
      <c r="D2114" s="36"/>
      <c r="E2114" s="36"/>
      <c r="F2114" s="37"/>
      <c r="G2114" s="36"/>
    </row>
    <row r="2115" spans="1:8">
      <c r="A2115" s="34" t="s">
        <v>2912</v>
      </c>
      <c r="B2115" s="35" t="s">
        <v>2913</v>
      </c>
      <c r="C2115" s="35"/>
      <c r="D2115" s="36"/>
      <c r="E2115" s="36"/>
      <c r="F2115" s="37"/>
      <c r="G2115" s="36"/>
    </row>
    <row r="2116" spans="1:8">
      <c r="A2116" s="34" t="s">
        <v>2914</v>
      </c>
      <c r="B2116" s="35" t="s">
        <v>2510</v>
      </c>
      <c r="C2116" s="35"/>
      <c r="D2116" s="36" t="s">
        <v>2915</v>
      </c>
      <c r="E2116" s="36">
        <v>16</v>
      </c>
      <c r="F2116" s="37" t="s">
        <v>2916</v>
      </c>
      <c r="G2116" s="36"/>
    </row>
    <row r="2117" spans="1:8">
      <c r="A2117" s="34" t="s">
        <v>2917</v>
      </c>
      <c r="B2117" s="35" t="s">
        <v>2918</v>
      </c>
      <c r="C2117" s="35"/>
      <c r="D2117" s="36"/>
      <c r="E2117" s="36"/>
      <c r="F2117" s="37"/>
      <c r="G2117" s="36"/>
    </row>
    <row r="2118" spans="1:8">
      <c r="A2118" s="34" t="s">
        <v>2919</v>
      </c>
      <c r="B2118" s="35" t="s">
        <v>2514</v>
      </c>
      <c r="C2118" s="35"/>
      <c r="D2118" s="36" t="s">
        <v>2920</v>
      </c>
      <c r="E2118" s="36">
        <v>32</v>
      </c>
      <c r="F2118" s="37" t="s">
        <v>2921</v>
      </c>
      <c r="G2118" s="36"/>
    </row>
    <row r="2119" spans="1:8">
      <c r="A2119" s="34" t="s">
        <v>2922</v>
      </c>
      <c r="B2119" s="35" t="s">
        <v>2518</v>
      </c>
      <c r="C2119" s="35"/>
      <c r="D2119" s="36" t="s">
        <v>2923</v>
      </c>
      <c r="E2119" s="36">
        <v>32</v>
      </c>
      <c r="F2119" s="37"/>
      <c r="G2119" s="36"/>
    </row>
    <row r="2120" spans="1:8">
      <c r="A2120" s="34" t="s">
        <v>2924</v>
      </c>
      <c r="B2120" s="35" t="s">
        <v>2594</v>
      </c>
      <c r="C2120" s="35"/>
      <c r="D2120" s="36" t="s">
        <v>2925</v>
      </c>
      <c r="E2120" s="36">
        <v>32</v>
      </c>
      <c r="F2120" s="37" t="s">
        <v>2926</v>
      </c>
      <c r="G2120" s="36"/>
    </row>
    <row r="2121" spans="1:8">
      <c r="A2121" s="34" t="s">
        <v>2927</v>
      </c>
      <c r="B2121" s="35" t="s">
        <v>2598</v>
      </c>
      <c r="C2121" s="35"/>
      <c r="D2121" s="36"/>
      <c r="E2121" s="36"/>
      <c r="F2121" s="37"/>
      <c r="G2121" s="36"/>
    </row>
    <row r="2122" spans="1:8">
      <c r="A2122" s="34" t="s">
        <v>2928</v>
      </c>
      <c r="B2122" s="35" t="s">
        <v>2798</v>
      </c>
      <c r="C2122" s="35"/>
      <c r="D2122" s="36"/>
      <c r="E2122" s="36"/>
      <c r="F2122" s="37"/>
      <c r="G2122" s="36"/>
    </row>
    <row r="2123" spans="1:8">
      <c r="A2123" s="34" t="s">
        <v>2929</v>
      </c>
      <c r="B2123" s="35" t="s">
        <v>2600</v>
      </c>
      <c r="C2123" s="35"/>
      <c r="D2123" s="36" t="s">
        <v>8257</v>
      </c>
      <c r="E2123" s="36">
        <v>16</v>
      </c>
      <c r="F2123" s="37"/>
      <c r="G2123" s="36"/>
    </row>
    <row r="2124" spans="1:8">
      <c r="A2124" s="34" t="s">
        <v>2930</v>
      </c>
      <c r="B2124" s="35" t="s">
        <v>2931</v>
      </c>
      <c r="C2124" s="35"/>
      <c r="D2124" s="36" t="s">
        <v>8249</v>
      </c>
      <c r="E2124" s="36">
        <v>16</v>
      </c>
      <c r="F2124" s="37" t="s">
        <v>8250</v>
      </c>
      <c r="G2124" s="36"/>
    </row>
    <row r="2125" spans="1:8">
      <c r="A2125" s="34" t="s">
        <v>2932</v>
      </c>
      <c r="B2125" s="35" t="s">
        <v>2933</v>
      </c>
      <c r="C2125" s="35"/>
      <c r="D2125" s="36" t="s">
        <v>8255</v>
      </c>
      <c r="E2125" s="36">
        <v>16</v>
      </c>
      <c r="F2125" s="37" t="s">
        <v>8212</v>
      </c>
      <c r="G2125" s="36"/>
      <c r="H2125" t="s">
        <v>2935</v>
      </c>
    </row>
    <row r="2126" spans="1:8">
      <c r="A2126" s="34" t="s">
        <v>2936</v>
      </c>
      <c r="B2126" s="35" t="s">
        <v>2937</v>
      </c>
      <c r="C2126" s="35"/>
      <c r="D2126" s="36" t="s">
        <v>2938</v>
      </c>
      <c r="E2126" s="36">
        <v>16</v>
      </c>
      <c r="F2126" s="37" t="s">
        <v>2939</v>
      </c>
      <c r="G2126" s="36"/>
    </row>
    <row r="2127" spans="1:8">
      <c r="A2127" s="34" t="s">
        <v>2940</v>
      </c>
      <c r="B2127" s="35" t="s">
        <v>2802</v>
      </c>
      <c r="C2127" s="35"/>
      <c r="D2127" s="36" t="s">
        <v>2941</v>
      </c>
      <c r="E2127" s="36">
        <v>16</v>
      </c>
      <c r="F2127" s="37" t="s">
        <v>2942</v>
      </c>
      <c r="G2127" s="36"/>
      <c r="H2127" t="s">
        <v>2943</v>
      </c>
    </row>
    <row r="2128" spans="1:8">
      <c r="A2128" s="34" t="s">
        <v>2944</v>
      </c>
      <c r="B2128" s="35" t="s">
        <v>2945</v>
      </c>
      <c r="C2128" s="35"/>
      <c r="D2128" s="36" t="s">
        <v>2946</v>
      </c>
      <c r="E2128" s="36">
        <v>16</v>
      </c>
      <c r="F2128" s="37" t="s">
        <v>2947</v>
      </c>
      <c r="G2128" s="36"/>
    </row>
    <row r="2129" spans="1:8">
      <c r="A2129" s="34" t="s">
        <v>2948</v>
      </c>
      <c r="B2129" s="35" t="s">
        <v>2806</v>
      </c>
      <c r="C2129" s="35"/>
      <c r="D2129" s="36" t="s">
        <v>2949</v>
      </c>
      <c r="E2129" s="36">
        <v>16</v>
      </c>
      <c r="F2129" s="37"/>
      <c r="G2129" s="36"/>
    </row>
    <row r="2130" spans="1:8">
      <c r="A2130" s="34" t="s">
        <v>2950</v>
      </c>
      <c r="B2130" s="35" t="s">
        <v>2951</v>
      </c>
      <c r="C2130" s="35"/>
      <c r="D2130" s="36" t="s">
        <v>2952</v>
      </c>
      <c r="E2130" s="36">
        <v>16</v>
      </c>
      <c r="F2130" s="37" t="s">
        <v>2953</v>
      </c>
      <c r="G2130" s="36"/>
    </row>
    <row r="2131" spans="1:8">
      <c r="A2131" s="34" t="s">
        <v>2954</v>
      </c>
      <c r="B2131" s="35" t="s">
        <v>2808</v>
      </c>
      <c r="C2131" s="35"/>
      <c r="D2131" s="36" t="s">
        <v>2955</v>
      </c>
      <c r="E2131" s="36">
        <v>16</v>
      </c>
      <c r="F2131" s="37" t="s">
        <v>2956</v>
      </c>
      <c r="G2131" s="36"/>
      <c r="H2131" t="s">
        <v>2957</v>
      </c>
    </row>
    <row r="2132" spans="1:8">
      <c r="A2132" s="34" t="s">
        <v>2958</v>
      </c>
      <c r="B2132" s="35" t="s">
        <v>2959</v>
      </c>
      <c r="C2132" s="35"/>
      <c r="D2132" s="36" t="s">
        <v>2960</v>
      </c>
      <c r="E2132" s="36"/>
      <c r="F2132" s="37" t="s">
        <v>2961</v>
      </c>
      <c r="G2132" s="36"/>
    </row>
    <row r="2133" spans="1:8">
      <c r="A2133" s="34" t="s">
        <v>2962</v>
      </c>
      <c r="B2133" s="35" t="s">
        <v>2963</v>
      </c>
      <c r="C2133" s="35"/>
      <c r="D2133" s="36" t="s">
        <v>8207</v>
      </c>
      <c r="E2133" s="36">
        <v>8</v>
      </c>
      <c r="F2133" s="37" t="s">
        <v>2964</v>
      </c>
      <c r="G2133" s="36"/>
    </row>
    <row r="2134" spans="1:8">
      <c r="A2134" s="34" t="s">
        <v>2965</v>
      </c>
      <c r="B2134" s="35" t="s">
        <v>2966</v>
      </c>
      <c r="C2134" s="35"/>
      <c r="D2134" s="36"/>
      <c r="E2134" s="36">
        <v>8</v>
      </c>
      <c r="F2134" s="37"/>
      <c r="G2134" s="36"/>
    </row>
    <row r="2135" spans="1:8">
      <c r="A2135" s="34" t="s">
        <v>2967</v>
      </c>
      <c r="B2135" s="35" t="s">
        <v>2811</v>
      </c>
      <c r="C2135" s="35"/>
      <c r="D2135" s="36" t="s">
        <v>2968</v>
      </c>
      <c r="E2135" s="36">
        <v>8</v>
      </c>
      <c r="F2135" s="37"/>
      <c r="G2135" s="36"/>
    </row>
    <row r="2136" spans="1:8">
      <c r="A2136" s="34" t="s">
        <v>2969</v>
      </c>
      <c r="B2136" s="35" t="s">
        <v>2970</v>
      </c>
      <c r="C2136" s="35"/>
      <c r="D2136" s="36"/>
      <c r="E2136" s="36">
        <v>8</v>
      </c>
      <c r="F2136" s="37"/>
      <c r="G2136" s="36"/>
    </row>
    <row r="2137" spans="1:8">
      <c r="A2137" s="34" t="s">
        <v>2971</v>
      </c>
      <c r="B2137" s="35" t="s">
        <v>2972</v>
      </c>
      <c r="C2137" s="35"/>
      <c r="D2137" s="36"/>
      <c r="E2137" s="36">
        <v>8</v>
      </c>
      <c r="F2137" s="37"/>
      <c r="G2137" s="36"/>
    </row>
    <row r="2138" spans="1:8">
      <c r="A2138" s="34" t="s">
        <v>2973</v>
      </c>
      <c r="B2138" s="35" t="s">
        <v>2974</v>
      </c>
      <c r="C2138" s="35"/>
      <c r="D2138" s="36" t="s">
        <v>8271</v>
      </c>
      <c r="E2138" s="36">
        <v>8</v>
      </c>
      <c r="F2138" s="37" t="s">
        <v>2975</v>
      </c>
      <c r="G2138" s="36"/>
    </row>
    <row r="2139" spans="1:8">
      <c r="A2139" s="34" t="s">
        <v>2976</v>
      </c>
      <c r="B2139" s="35" t="s">
        <v>2813</v>
      </c>
      <c r="C2139" s="35"/>
      <c r="D2139" s="36" t="s">
        <v>2977</v>
      </c>
      <c r="E2139" s="36">
        <v>8</v>
      </c>
      <c r="F2139" s="37"/>
      <c r="G2139" s="36"/>
    </row>
    <row r="2140" spans="1:8">
      <c r="A2140" s="34" t="s">
        <v>2978</v>
      </c>
      <c r="B2140" s="35" t="s">
        <v>2979</v>
      </c>
      <c r="C2140" s="35"/>
      <c r="D2140" s="36" t="s">
        <v>2980</v>
      </c>
      <c r="E2140" s="36">
        <v>8</v>
      </c>
      <c r="F2140" s="37" t="s">
        <v>2981</v>
      </c>
      <c r="G2140" s="36"/>
    </row>
    <row r="2141" spans="1:8">
      <c r="A2141" s="34" t="s">
        <v>2982</v>
      </c>
      <c r="B2141" s="35" t="s">
        <v>2983</v>
      </c>
      <c r="C2141" s="35"/>
      <c r="D2141" s="36" t="s">
        <v>2984</v>
      </c>
      <c r="E2141" s="36">
        <v>8</v>
      </c>
      <c r="F2141" s="37" t="s">
        <v>2985</v>
      </c>
      <c r="G2141" s="36" t="s">
        <v>2986</v>
      </c>
    </row>
    <row r="2142" spans="1:8">
      <c r="A2142" s="34" t="s">
        <v>2987</v>
      </c>
      <c r="B2142" s="35" t="s">
        <v>2988</v>
      </c>
      <c r="C2142" s="35"/>
      <c r="D2142" s="36" t="s">
        <v>2989</v>
      </c>
      <c r="E2142" s="36">
        <v>8</v>
      </c>
      <c r="F2142" s="37"/>
      <c r="G2142" s="36"/>
    </row>
    <row r="2143" spans="1:8">
      <c r="A2143" s="34" t="s">
        <v>2990</v>
      </c>
      <c r="B2143" s="35" t="s">
        <v>2816</v>
      </c>
      <c r="C2143" s="35"/>
      <c r="D2143" s="36" t="s">
        <v>2991</v>
      </c>
      <c r="E2143" s="36">
        <v>8</v>
      </c>
      <c r="F2143" s="37" t="s">
        <v>2992</v>
      </c>
      <c r="G2143" s="36" t="s">
        <v>2993</v>
      </c>
      <c r="H2143" t="s">
        <v>2994</v>
      </c>
    </row>
    <row r="2144" spans="1:8">
      <c r="A2144" s="34" t="s">
        <v>2995</v>
      </c>
      <c r="B2144" s="35" t="s">
        <v>2996</v>
      </c>
      <c r="C2144" s="35"/>
      <c r="D2144" s="36" t="s">
        <v>2997</v>
      </c>
      <c r="E2144" s="36">
        <v>8</v>
      </c>
      <c r="F2144" s="37" t="s">
        <v>2998</v>
      </c>
      <c r="G2144" s="36" t="s">
        <v>2999</v>
      </c>
      <c r="H2144" s="36" t="s">
        <v>7736</v>
      </c>
    </row>
    <row r="2145" spans="1:7">
      <c r="A2145" s="34"/>
      <c r="B2145" s="35"/>
      <c r="C2145" s="35"/>
      <c r="D2145" s="36"/>
      <c r="E2145" s="36"/>
      <c r="F2145" s="37"/>
      <c r="G2145" s="36"/>
    </row>
    <row r="2146" spans="1:7">
      <c r="A2146" s="34" t="s">
        <v>3000</v>
      </c>
      <c r="B2146" s="35" t="s">
        <v>2522</v>
      </c>
      <c r="C2146" s="35"/>
      <c r="D2146" s="36" t="s">
        <v>3001</v>
      </c>
      <c r="E2146" s="36">
        <v>8</v>
      </c>
      <c r="F2146" s="37"/>
      <c r="G2146" s="36"/>
    </row>
    <row r="2147" spans="1:7">
      <c r="A2147" s="34" t="s">
        <v>3002</v>
      </c>
      <c r="B2147" s="35" t="s">
        <v>3003</v>
      </c>
      <c r="C2147" s="35"/>
      <c r="D2147" s="36" t="s">
        <v>3004</v>
      </c>
      <c r="E2147" s="36">
        <v>8</v>
      </c>
      <c r="F2147" s="37"/>
      <c r="G2147" s="36"/>
    </row>
    <row r="2148" spans="1:7">
      <c r="A2148" s="34" t="s">
        <v>3005</v>
      </c>
      <c r="B2148" s="35" t="s">
        <v>3006</v>
      </c>
      <c r="C2148" s="35"/>
      <c r="D2148" s="36"/>
      <c r="E2148" s="36">
        <v>8</v>
      </c>
      <c r="F2148" s="37"/>
      <c r="G2148" s="36"/>
    </row>
    <row r="2149" spans="1:7">
      <c r="A2149" s="34" t="s">
        <v>3007</v>
      </c>
      <c r="B2149" s="35" t="s">
        <v>3008</v>
      </c>
      <c r="C2149" s="35"/>
      <c r="D2149" s="36" t="s">
        <v>3009</v>
      </c>
      <c r="E2149" s="36">
        <v>8</v>
      </c>
      <c r="F2149" s="37" t="s">
        <v>3010</v>
      </c>
      <c r="G2149" s="36"/>
    </row>
    <row r="2150" spans="1:7">
      <c r="A2150" s="34" t="s">
        <v>3011</v>
      </c>
      <c r="B2150" s="35" t="s">
        <v>2821</v>
      </c>
      <c r="C2150" s="35"/>
      <c r="D2150" s="36" t="s">
        <v>3012</v>
      </c>
      <c r="E2150" s="36">
        <v>8</v>
      </c>
      <c r="F2150" s="37" t="s">
        <v>3013</v>
      </c>
      <c r="G2150" s="36"/>
    </row>
    <row r="2151" spans="1:7">
      <c r="A2151" s="34"/>
      <c r="B2151" s="35"/>
      <c r="C2151" s="35"/>
      <c r="D2151" s="36"/>
      <c r="E2151" s="36"/>
      <c r="F2151" s="37"/>
      <c r="G2151" s="36"/>
    </row>
    <row r="2152" spans="1:7">
      <c r="A2152" s="34" t="s">
        <v>3014</v>
      </c>
      <c r="B2152" s="35" t="s">
        <v>3015</v>
      </c>
      <c r="C2152" s="35"/>
      <c r="D2152" s="36" t="s">
        <v>3016</v>
      </c>
      <c r="E2152" s="36">
        <v>16</v>
      </c>
      <c r="F2152" s="37"/>
      <c r="G2152" s="36"/>
    </row>
    <row r="2153" spans="1:7">
      <c r="A2153" s="34" t="s">
        <v>3017</v>
      </c>
      <c r="B2153" s="35" t="s">
        <v>2827</v>
      </c>
      <c r="C2153" s="35"/>
      <c r="D2153" s="36" t="s">
        <v>8256</v>
      </c>
      <c r="E2153" s="36">
        <v>16</v>
      </c>
      <c r="F2153" s="37"/>
      <c r="G2153" s="36"/>
    </row>
    <row r="2154" spans="1:7">
      <c r="A2154" s="34" t="s">
        <v>3018</v>
      </c>
      <c r="B2154" s="35" t="s">
        <v>3019</v>
      </c>
      <c r="C2154" s="35"/>
      <c r="D2154" s="36" t="s">
        <v>3020</v>
      </c>
      <c r="E2154" s="36">
        <v>16</v>
      </c>
      <c r="F2154" s="37"/>
      <c r="G2154" s="36"/>
    </row>
    <row r="2155" spans="1:7">
      <c r="A2155" s="34" t="s">
        <v>3021</v>
      </c>
      <c r="B2155" s="35" t="s">
        <v>2830</v>
      </c>
      <c r="C2155" s="35"/>
      <c r="D2155" s="36" t="s">
        <v>3022</v>
      </c>
      <c r="E2155" s="36">
        <v>16</v>
      </c>
      <c r="F2155" s="37"/>
      <c r="G2155" s="36"/>
    </row>
    <row r="2156" spans="1:7">
      <c r="A2156" s="34" t="s">
        <v>3023</v>
      </c>
      <c r="B2156" s="35" t="s">
        <v>2836</v>
      </c>
      <c r="C2156" s="35"/>
      <c r="D2156" s="36" t="s">
        <v>3024</v>
      </c>
      <c r="E2156" s="36">
        <v>16</v>
      </c>
      <c r="F2156" s="37"/>
      <c r="G2156" s="36"/>
    </row>
    <row r="2157" spans="1:7">
      <c r="A2157" s="34" t="s">
        <v>3025</v>
      </c>
      <c r="B2157" s="35" t="s">
        <v>2840</v>
      </c>
      <c r="C2157" s="35"/>
      <c r="D2157" s="36" t="s">
        <v>3026</v>
      </c>
      <c r="E2157" s="36">
        <v>16</v>
      </c>
      <c r="F2157" s="37"/>
      <c r="G2157" s="36"/>
    </row>
    <row r="2158" spans="1:7">
      <c r="A2158" s="34" t="s">
        <v>3027</v>
      </c>
      <c r="B2158" s="35" t="s">
        <v>2842</v>
      </c>
      <c r="C2158" s="35"/>
      <c r="D2158" s="36" t="s">
        <v>3028</v>
      </c>
      <c r="E2158" s="36">
        <v>16</v>
      </c>
      <c r="F2158" s="37"/>
      <c r="G2158" s="36"/>
    </row>
    <row r="2159" spans="1:7">
      <c r="A2159" s="34" t="s">
        <v>3029</v>
      </c>
      <c r="B2159" s="35" t="s">
        <v>2845</v>
      </c>
      <c r="C2159" s="35"/>
      <c r="D2159" s="36" t="s">
        <v>3030</v>
      </c>
      <c r="E2159" s="36">
        <v>16</v>
      </c>
      <c r="F2159" s="37"/>
      <c r="G2159" s="36"/>
    </row>
    <row r="2160" spans="1:7">
      <c r="A2160" s="34" t="s">
        <v>3031</v>
      </c>
      <c r="B2160" s="35" t="s">
        <v>3032</v>
      </c>
      <c r="C2160" s="35"/>
      <c r="D2160" s="36"/>
      <c r="E2160" s="36"/>
      <c r="F2160" s="37"/>
      <c r="G2160" s="36"/>
    </row>
    <row r="2161" spans="1:7">
      <c r="A2161" s="34" t="s">
        <v>3033</v>
      </c>
      <c r="B2161" s="35" t="s">
        <v>2848</v>
      </c>
      <c r="C2161" s="35"/>
      <c r="D2161" s="36" t="s">
        <v>3034</v>
      </c>
      <c r="E2161" s="36">
        <v>16</v>
      </c>
      <c r="F2161" s="37"/>
      <c r="G2161" s="36"/>
    </row>
    <row r="2162" spans="1:7">
      <c r="A2162" s="34" t="s">
        <v>3035</v>
      </c>
      <c r="B2162" s="35" t="s">
        <v>3036</v>
      </c>
      <c r="C2162" s="35"/>
      <c r="D2162" s="36" t="s">
        <v>3037</v>
      </c>
      <c r="E2162" s="36">
        <v>16</v>
      </c>
      <c r="F2162" s="37"/>
      <c r="G2162" s="36"/>
    </row>
    <row r="2163" spans="1:7">
      <c r="A2163" s="34"/>
      <c r="B2163" s="35"/>
      <c r="C2163" s="35"/>
      <c r="D2163" s="36"/>
      <c r="E2163" s="36"/>
      <c r="F2163" s="37"/>
      <c r="G2163" s="36"/>
    </row>
    <row r="2164" spans="1:7">
      <c r="A2164" s="34" t="s">
        <v>3038</v>
      </c>
      <c r="B2164" s="35" t="s">
        <v>3039</v>
      </c>
      <c r="C2164" s="35"/>
      <c r="D2164" s="36" t="s">
        <v>3040</v>
      </c>
      <c r="E2164" s="36">
        <v>32</v>
      </c>
      <c r="F2164" s="37"/>
      <c r="G2164" s="36"/>
    </row>
    <row r="2165" spans="1:7">
      <c r="A2165" s="34" t="s">
        <v>3041</v>
      </c>
      <c r="B2165" s="35" t="s">
        <v>3042</v>
      </c>
      <c r="C2165" s="35"/>
      <c r="D2165" s="36" t="s">
        <v>3043</v>
      </c>
      <c r="E2165" s="36">
        <v>32</v>
      </c>
      <c r="F2165" s="37"/>
      <c r="G2165" s="36"/>
    </row>
    <row r="2166" spans="1:7">
      <c r="A2166" s="34" t="s">
        <v>3044</v>
      </c>
      <c r="B2166" s="35" t="s">
        <v>3045</v>
      </c>
      <c r="C2166" s="35"/>
      <c r="D2166" s="36" t="s">
        <v>3046</v>
      </c>
      <c r="E2166" s="36">
        <v>8</v>
      </c>
      <c r="F2166" s="37" t="s">
        <v>3047</v>
      </c>
      <c r="G2166" s="36"/>
    </row>
    <row r="2167" spans="1:7">
      <c r="A2167" s="34" t="s">
        <v>3048</v>
      </c>
      <c r="B2167" s="35" t="s">
        <v>3049</v>
      </c>
      <c r="C2167" s="35"/>
      <c r="D2167" s="36"/>
      <c r="E2167" s="36">
        <v>8</v>
      </c>
      <c r="F2167" s="37" t="s">
        <v>3047</v>
      </c>
      <c r="G2167" s="36"/>
    </row>
    <row r="2168" spans="1:7">
      <c r="A2168" s="34" t="s">
        <v>3050</v>
      </c>
      <c r="B2168" s="35" t="s">
        <v>3051</v>
      </c>
      <c r="C2168" s="35"/>
      <c r="D2168" s="36" t="s">
        <v>3052</v>
      </c>
      <c r="E2168" s="36">
        <v>8</v>
      </c>
      <c r="F2168" s="37" t="s">
        <v>3047</v>
      </c>
      <c r="G2168" s="36"/>
    </row>
    <row r="2169" spans="1:7">
      <c r="A2169" s="34" t="s">
        <v>3053</v>
      </c>
      <c r="B2169" s="35" t="s">
        <v>3054</v>
      </c>
      <c r="C2169" s="35"/>
      <c r="D2169" s="36"/>
      <c r="E2169" s="36">
        <v>8</v>
      </c>
      <c r="F2169" s="37" t="s">
        <v>3047</v>
      </c>
      <c r="G2169" s="36"/>
    </row>
    <row r="2170" spans="1:7">
      <c r="A2170" s="34" t="s">
        <v>3055</v>
      </c>
      <c r="B2170" s="35" t="s">
        <v>3056</v>
      </c>
      <c r="C2170" s="35"/>
      <c r="D2170" s="36" t="s">
        <v>3057</v>
      </c>
      <c r="E2170" s="36">
        <v>32</v>
      </c>
      <c r="F2170" s="37">
        <v>41000000</v>
      </c>
      <c r="G2170" s="19">
        <f>(1+_xlfn.BITAND(HEX2DEC(F2170),2^23-1)/2^23)*(2^(INT(_xlfn.BITAND(HEX2DEC(F2170),2^31-1)/(2^23))-127))*(-1^(INT(HEX2DEC(F2171)/2^31)))</f>
        <v>8</v>
      </c>
    </row>
    <row r="2171" spans="1:7">
      <c r="A2171" s="34" t="s">
        <v>3058</v>
      </c>
      <c r="B2171" s="35" t="s">
        <v>3059</v>
      </c>
      <c r="C2171" s="35"/>
      <c r="D2171" s="36" t="s">
        <v>3060</v>
      </c>
      <c r="E2171" s="36">
        <v>32</v>
      </c>
      <c r="F2171" s="37">
        <v>43000000</v>
      </c>
      <c r="G2171" s="19">
        <f>(1+_xlfn.BITAND(HEX2DEC(F2171),2^23-1)/2^23)*(2^(INT(_xlfn.BITAND(HEX2DEC(F2171),2^31-1)/(2^23))-127))*(-1^(INT(HEX2DEC(F2172)/2^31)))</f>
        <v>128</v>
      </c>
    </row>
    <row r="2172" spans="1:7">
      <c r="A2172" s="34" t="s">
        <v>3061</v>
      </c>
      <c r="B2172" s="35" t="s">
        <v>3062</v>
      </c>
      <c r="C2172" s="35"/>
      <c r="D2172" s="36" t="s">
        <v>3063</v>
      </c>
      <c r="E2172" s="36">
        <v>32</v>
      </c>
      <c r="F2172" s="37"/>
      <c r="G2172" s="36"/>
    </row>
    <row r="2173" spans="1:7">
      <c r="A2173" s="34" t="s">
        <v>3064</v>
      </c>
      <c r="B2173" s="35" t="s">
        <v>3065</v>
      </c>
      <c r="C2173" s="35"/>
      <c r="D2173" s="36" t="s">
        <v>8264</v>
      </c>
      <c r="E2173" s="36">
        <v>32</v>
      </c>
      <c r="F2173" s="37"/>
      <c r="G2173" s="36"/>
    </row>
    <row r="2174" spans="1:7">
      <c r="A2174" s="34" t="s">
        <v>3066</v>
      </c>
      <c r="B2174" s="35" t="s">
        <v>3067</v>
      </c>
      <c r="C2174" s="35"/>
      <c r="D2174" s="36" t="s">
        <v>3068</v>
      </c>
      <c r="E2174" s="36">
        <v>32</v>
      </c>
      <c r="F2174" s="37"/>
      <c r="G2174" s="36"/>
    </row>
    <row r="2175" spans="1:7">
      <c r="A2175" s="34"/>
      <c r="B2175" s="35"/>
      <c r="C2175" s="35"/>
      <c r="D2175" s="36"/>
      <c r="E2175" s="36"/>
      <c r="F2175" s="37"/>
      <c r="G2175" s="36"/>
    </row>
    <row r="2176" spans="1:7">
      <c r="A2176" s="34" t="s">
        <v>3069</v>
      </c>
      <c r="B2176" s="35" t="s">
        <v>3070</v>
      </c>
      <c r="C2176" s="35"/>
      <c r="D2176" s="36" t="s">
        <v>8114</v>
      </c>
      <c r="E2176" s="36">
        <v>32</v>
      </c>
      <c r="F2176" s="37"/>
      <c r="G2176" s="36"/>
    </row>
    <row r="2177" spans="1:7">
      <c r="A2177" s="34" t="s">
        <v>3071</v>
      </c>
      <c r="B2177" s="35" t="s">
        <v>3072</v>
      </c>
      <c r="C2177" s="35"/>
      <c r="D2177" s="36" t="s">
        <v>8118</v>
      </c>
      <c r="E2177" s="36">
        <v>32</v>
      </c>
      <c r="F2177" s="37"/>
      <c r="G2177" s="36"/>
    </row>
    <row r="2178" spans="1:7">
      <c r="A2178" s="34" t="s">
        <v>3073</v>
      </c>
      <c r="B2178" s="35" t="s">
        <v>3074</v>
      </c>
      <c r="C2178" s="35"/>
      <c r="D2178" s="36" t="s">
        <v>3075</v>
      </c>
      <c r="E2178" s="36">
        <v>32</v>
      </c>
      <c r="F2178" s="37"/>
      <c r="G2178" s="36"/>
    </row>
    <row r="2179" spans="1:7">
      <c r="A2179" s="34" t="s">
        <v>3076</v>
      </c>
      <c r="B2179" s="35" t="s">
        <v>3077</v>
      </c>
      <c r="C2179" s="35"/>
      <c r="D2179" s="36"/>
      <c r="E2179" s="36">
        <v>32</v>
      </c>
      <c r="F2179" s="37"/>
      <c r="G2179" s="36"/>
    </row>
    <row r="2180" spans="1:7">
      <c r="A2180" s="34" t="s">
        <v>3078</v>
      </c>
      <c r="B2180" s="35" t="s">
        <v>3079</v>
      </c>
      <c r="C2180" s="35"/>
      <c r="D2180" s="36" t="s">
        <v>8115</v>
      </c>
      <c r="E2180" s="36">
        <v>32</v>
      </c>
      <c r="F2180" s="37"/>
      <c r="G2180" s="36"/>
    </row>
    <row r="2181" spans="1:7">
      <c r="A2181" s="34"/>
      <c r="B2181" s="35"/>
      <c r="C2181" s="35"/>
      <c r="D2181" s="36" t="s">
        <v>8116</v>
      </c>
      <c r="E2181" s="36">
        <v>32</v>
      </c>
      <c r="F2181" s="37"/>
      <c r="G2181" s="36"/>
    </row>
    <row r="2182" spans="1:7">
      <c r="A2182" s="34"/>
      <c r="B2182" s="35"/>
      <c r="C2182" s="35"/>
      <c r="D2182" s="36" t="s">
        <v>8117</v>
      </c>
      <c r="E2182" s="36">
        <v>32</v>
      </c>
      <c r="F2182" s="37"/>
      <c r="G2182" s="36"/>
    </row>
    <row r="2183" spans="1:7">
      <c r="A2183" s="34"/>
      <c r="B2183" s="35"/>
      <c r="C2183" s="35"/>
      <c r="D2183" s="36"/>
      <c r="E2183" s="36"/>
      <c r="F2183" s="37"/>
      <c r="G2183" s="36"/>
    </row>
    <row r="2184" spans="1:7">
      <c r="A2184" s="34"/>
      <c r="B2184" s="35"/>
      <c r="C2184" s="35"/>
      <c r="D2184" s="36" t="s">
        <v>3080</v>
      </c>
      <c r="E2184" s="36">
        <v>32</v>
      </c>
      <c r="F2184" s="37"/>
      <c r="G2184" s="36"/>
    </row>
    <row r="2185" spans="1:7">
      <c r="A2185" s="34"/>
      <c r="B2185" s="35"/>
      <c r="C2185" s="35"/>
      <c r="D2185" s="36" t="s">
        <v>3081</v>
      </c>
      <c r="E2185" s="36">
        <v>32</v>
      </c>
      <c r="F2185" s="37"/>
      <c r="G2185" s="36"/>
    </row>
    <row r="2186" spans="1:7">
      <c r="A2186" s="34"/>
      <c r="B2186" s="35"/>
      <c r="C2186" s="35"/>
      <c r="D2186" s="36" t="s">
        <v>3082</v>
      </c>
      <c r="E2186" s="36">
        <v>32</v>
      </c>
      <c r="F2186" s="37"/>
      <c r="G2186" s="36"/>
    </row>
    <row r="2187" spans="1:7">
      <c r="A2187" s="34"/>
      <c r="B2187" s="35"/>
      <c r="C2187" s="35"/>
      <c r="D2187" s="36"/>
      <c r="E2187" s="36"/>
      <c r="F2187" s="37"/>
      <c r="G2187" s="36"/>
    </row>
    <row r="2188" spans="1:7">
      <c r="A2188" s="34"/>
      <c r="B2188" s="35"/>
      <c r="C2188" s="35"/>
      <c r="D2188" s="36" t="s">
        <v>3080</v>
      </c>
      <c r="E2188" s="36">
        <v>32</v>
      </c>
      <c r="F2188" s="37"/>
      <c r="G2188" s="36"/>
    </row>
    <row r="2189" spans="1:7">
      <c r="A2189" s="34"/>
      <c r="B2189" s="35"/>
      <c r="C2189" s="35"/>
      <c r="D2189" s="36" t="s">
        <v>3081</v>
      </c>
      <c r="E2189" s="36">
        <v>32</v>
      </c>
      <c r="F2189" s="37"/>
      <c r="G2189" s="36"/>
    </row>
    <row r="2190" spans="1:7">
      <c r="A2190" s="34"/>
      <c r="B2190" s="35"/>
      <c r="C2190" s="35"/>
      <c r="D2190" s="36" t="s">
        <v>3082</v>
      </c>
      <c r="E2190" s="36">
        <v>32</v>
      </c>
      <c r="F2190" s="37"/>
      <c r="G2190" s="36"/>
    </row>
    <row r="2191" spans="1:7">
      <c r="A2191" s="34"/>
      <c r="B2191" s="35"/>
      <c r="C2191" s="35"/>
      <c r="D2191" s="36"/>
      <c r="E2191" s="36"/>
      <c r="F2191" s="37"/>
      <c r="G2191" s="36"/>
    </row>
    <row r="2192" spans="1:7">
      <c r="A2192" s="34"/>
      <c r="B2192" s="35"/>
      <c r="C2192" s="35"/>
      <c r="D2192" s="36" t="s">
        <v>3080</v>
      </c>
      <c r="E2192" s="36">
        <v>32</v>
      </c>
      <c r="F2192" s="37"/>
      <c r="G2192" s="36"/>
    </row>
    <row r="2193" spans="1:7">
      <c r="A2193" s="34"/>
      <c r="B2193" s="35"/>
      <c r="C2193" s="35"/>
      <c r="D2193" s="36" t="s">
        <v>3081</v>
      </c>
      <c r="E2193" s="36">
        <v>32</v>
      </c>
      <c r="F2193" s="37"/>
      <c r="G2193" s="36"/>
    </row>
    <row r="2194" spans="1:7">
      <c r="A2194" s="34"/>
      <c r="B2194" s="35"/>
      <c r="C2194" s="35"/>
      <c r="D2194" s="36" t="s">
        <v>3082</v>
      </c>
      <c r="E2194" s="36">
        <v>32</v>
      </c>
      <c r="F2194" s="37"/>
      <c r="G2194" s="36"/>
    </row>
    <row r="2195" spans="1:7">
      <c r="A2195" s="34"/>
      <c r="B2195" s="35"/>
      <c r="C2195" s="35"/>
      <c r="D2195" s="36"/>
      <c r="E2195" s="36"/>
      <c r="F2195" s="37"/>
      <c r="G2195" s="36"/>
    </row>
    <row r="2196" spans="1:7">
      <c r="A2196" s="34"/>
      <c r="B2196" s="35"/>
      <c r="C2196" s="35"/>
      <c r="D2196" s="36"/>
      <c r="E2196" s="36"/>
      <c r="F2196" s="37"/>
      <c r="G2196" s="36"/>
    </row>
    <row r="2197" spans="1:7">
      <c r="A2197" s="34"/>
      <c r="B2197" s="35"/>
      <c r="C2197" s="35"/>
      <c r="D2197" s="36"/>
      <c r="E2197" s="36"/>
      <c r="F2197" s="37"/>
      <c r="G2197" s="36"/>
    </row>
    <row r="2198" spans="1:7">
      <c r="A2198" s="34" t="s">
        <v>3069</v>
      </c>
      <c r="B2198" s="35" t="s">
        <v>3070</v>
      </c>
      <c r="C2198" s="35"/>
      <c r="D2198" s="36" t="s">
        <v>3083</v>
      </c>
      <c r="E2198" s="36">
        <v>32</v>
      </c>
      <c r="F2198" s="37"/>
      <c r="G2198" s="36"/>
    </row>
    <row r="2199" spans="1:7">
      <c r="A2199" s="34" t="s">
        <v>3071</v>
      </c>
      <c r="B2199" s="35" t="s">
        <v>3072</v>
      </c>
      <c r="C2199" s="35"/>
      <c r="D2199" s="36"/>
      <c r="E2199" s="36">
        <v>32</v>
      </c>
      <c r="F2199" s="37"/>
      <c r="G2199" s="36"/>
    </row>
    <row r="2200" spans="1:7">
      <c r="A2200" s="34" t="s">
        <v>3073</v>
      </c>
      <c r="B2200" s="35" t="s">
        <v>3084</v>
      </c>
      <c r="C2200" s="35"/>
      <c r="D2200" s="36" t="s">
        <v>3085</v>
      </c>
      <c r="E2200" s="36">
        <v>32</v>
      </c>
      <c r="F2200" s="37" t="s">
        <v>3086</v>
      </c>
      <c r="G2200" s="36"/>
    </row>
    <row r="2201" spans="1:7">
      <c r="A2201" s="34"/>
      <c r="B2201" s="35"/>
      <c r="C2201" s="35"/>
      <c r="D2201" s="36"/>
      <c r="E2201" s="36"/>
      <c r="F2201" s="37"/>
      <c r="G2201" s="36"/>
    </row>
    <row r="2202" spans="1:7">
      <c r="A2202" s="34"/>
      <c r="B2202" s="35"/>
      <c r="C2202" s="35"/>
      <c r="D2202" s="36"/>
      <c r="E2202" s="36"/>
      <c r="F2202" s="37"/>
      <c r="G2202" s="36"/>
    </row>
    <row r="2203" spans="1:7">
      <c r="A2203" s="34" t="s">
        <v>3087</v>
      </c>
      <c r="B2203" s="35" t="s">
        <v>3088</v>
      </c>
      <c r="C2203" s="35"/>
      <c r="D2203" s="36" t="s">
        <v>3089</v>
      </c>
      <c r="E2203" s="36">
        <v>32</v>
      </c>
      <c r="F2203" s="37"/>
      <c r="G2203" s="36"/>
    </row>
    <row r="2204" spans="1:7">
      <c r="A2204" s="34"/>
      <c r="B2204" s="35"/>
      <c r="C2204" s="35"/>
      <c r="D2204" s="36"/>
      <c r="E2204" s="36"/>
      <c r="F2204" s="37"/>
      <c r="G2204" s="36"/>
    </row>
    <row r="2205" spans="1:7">
      <c r="A2205" s="34" t="s">
        <v>3090</v>
      </c>
      <c r="B2205" s="35" t="s">
        <v>3091</v>
      </c>
      <c r="C2205" s="35"/>
      <c r="D2205" s="36" t="s">
        <v>8261</v>
      </c>
      <c r="E2205" s="36">
        <v>32</v>
      </c>
      <c r="F2205" s="37"/>
      <c r="G2205" s="36"/>
    </row>
    <row r="2206" spans="1:7">
      <c r="A2206" s="34" t="s">
        <v>3092</v>
      </c>
      <c r="B2206" s="35" t="s">
        <v>3093</v>
      </c>
      <c r="C2206" s="35"/>
      <c r="D2206" s="36"/>
      <c r="E2206" s="36">
        <v>32</v>
      </c>
      <c r="F2206" s="37"/>
      <c r="G2206" s="36"/>
    </row>
    <row r="2207" spans="1:7">
      <c r="A2207" s="34" t="s">
        <v>3094</v>
      </c>
      <c r="B2207" s="35" t="s">
        <v>3095</v>
      </c>
      <c r="C2207" s="35"/>
      <c r="D2207" s="36" t="s">
        <v>8262</v>
      </c>
      <c r="E2207" s="36">
        <v>32</v>
      </c>
      <c r="F2207" s="37"/>
      <c r="G2207" s="36"/>
    </row>
    <row r="2208" spans="1:7">
      <c r="A2208" s="34"/>
      <c r="B2208" s="35" t="s">
        <v>8266</v>
      </c>
      <c r="C2208" s="35"/>
      <c r="D2208" s="36" t="s">
        <v>8267</v>
      </c>
      <c r="E2208" s="36">
        <v>32</v>
      </c>
      <c r="F2208" s="37"/>
      <c r="G2208" s="36"/>
    </row>
    <row r="2209" spans="1:7">
      <c r="A2209" s="34"/>
      <c r="B2209" s="35"/>
      <c r="C2209" s="35"/>
      <c r="D2209" s="36"/>
      <c r="E2209" s="36"/>
      <c r="F2209" s="37"/>
      <c r="G2209" s="36"/>
    </row>
    <row r="2210" spans="1:7">
      <c r="A2210" s="34"/>
      <c r="B2210" s="35"/>
      <c r="C2210" s="35"/>
      <c r="D2210" s="36"/>
      <c r="E2210" s="36"/>
      <c r="F2210" s="37"/>
      <c r="G2210" s="36"/>
    </row>
    <row r="2211" spans="1:7">
      <c r="A2211" s="34" t="s">
        <v>3096</v>
      </c>
      <c r="B2211" s="35" t="s">
        <v>3097</v>
      </c>
      <c r="C2211" s="35"/>
      <c r="D2211" s="36" t="s">
        <v>3098</v>
      </c>
      <c r="E2211" s="36">
        <v>32</v>
      </c>
      <c r="F2211" s="37"/>
      <c r="G2211" s="36"/>
    </row>
    <row r="2212" spans="1:7">
      <c r="A2212" s="34" t="s">
        <v>3099</v>
      </c>
      <c r="B2212" s="35" t="s">
        <v>3100</v>
      </c>
      <c r="C2212" s="35"/>
      <c r="D2212" s="36" t="s">
        <v>3101</v>
      </c>
      <c r="E2212" s="36">
        <v>32</v>
      </c>
      <c r="F2212" s="37"/>
      <c r="G2212" s="36"/>
    </row>
    <row r="2213" spans="1:7">
      <c r="A2213" s="34" t="s">
        <v>3102</v>
      </c>
      <c r="B2213" s="35" t="s">
        <v>3103</v>
      </c>
      <c r="C2213" s="35"/>
      <c r="D2213" s="36" t="s">
        <v>3104</v>
      </c>
      <c r="E2213" s="36">
        <v>32</v>
      </c>
      <c r="F2213" s="37"/>
      <c r="G2213" s="36"/>
    </row>
    <row r="2214" spans="1:7">
      <c r="A2214" s="34" t="s">
        <v>3105</v>
      </c>
      <c r="B2214" s="35" t="s">
        <v>3106</v>
      </c>
      <c r="C2214" s="35"/>
      <c r="D2214" s="36" t="s">
        <v>3107</v>
      </c>
      <c r="E2214" s="36">
        <v>32</v>
      </c>
      <c r="F2214" s="37"/>
      <c r="G2214" s="36"/>
    </row>
    <row r="2215" spans="1:7">
      <c r="A2215" s="34" t="s">
        <v>3108</v>
      </c>
      <c r="B2215" s="35" t="s">
        <v>3109</v>
      </c>
      <c r="C2215" s="35"/>
      <c r="D2215" s="36" t="s">
        <v>3110</v>
      </c>
      <c r="E2215" s="36">
        <v>32</v>
      </c>
      <c r="F2215" s="37"/>
      <c r="G2215" s="36"/>
    </row>
    <row r="2216" spans="1:7">
      <c r="A2216" s="34" t="s">
        <v>3111</v>
      </c>
      <c r="B2216" s="35" t="s">
        <v>3112</v>
      </c>
      <c r="C2216" s="35"/>
      <c r="D2216" s="36" t="s">
        <v>3113</v>
      </c>
      <c r="E2216" s="36">
        <v>8</v>
      </c>
      <c r="F2216" s="37" t="s">
        <v>3114</v>
      </c>
      <c r="G2216" s="38" t="s">
        <v>3115</v>
      </c>
    </row>
    <row r="2217" spans="1:7">
      <c r="A2217" s="34" t="s">
        <v>3116</v>
      </c>
      <c r="B2217" s="35" t="s">
        <v>3117</v>
      </c>
      <c r="C2217" s="35"/>
      <c r="D2217" s="36">
        <v>0</v>
      </c>
      <c r="E2217" s="36">
        <v>8</v>
      </c>
      <c r="F2217" s="37"/>
      <c r="G2217" s="36"/>
    </row>
    <row r="2218" spans="1:7">
      <c r="A2218" s="34" t="s">
        <v>3118</v>
      </c>
      <c r="B2218" s="35" t="s">
        <v>3119</v>
      </c>
      <c r="C2218" s="35"/>
      <c r="D2218" s="36" t="s">
        <v>3120</v>
      </c>
      <c r="E2218" s="36">
        <v>16</v>
      </c>
      <c r="F2218" s="37" t="s">
        <v>3121</v>
      </c>
      <c r="G2218" s="36" t="s">
        <v>3122</v>
      </c>
    </row>
    <row r="2219" spans="1:7">
      <c r="A2219" s="34" t="s">
        <v>3123</v>
      </c>
      <c r="B2219" s="35" t="s">
        <v>3124</v>
      </c>
      <c r="C2219" s="35"/>
      <c r="D2219" s="36" t="s">
        <v>3125</v>
      </c>
      <c r="E2219" s="36">
        <v>32</v>
      </c>
      <c r="F2219" s="37" t="s">
        <v>3126</v>
      </c>
      <c r="G2219" s="36"/>
    </row>
    <row r="2220" spans="1:7">
      <c r="A2220" s="34" t="s">
        <v>3127</v>
      </c>
      <c r="B2220" s="35" t="s">
        <v>3128</v>
      </c>
      <c r="C2220" s="35"/>
      <c r="D2220" s="36" t="s">
        <v>3129</v>
      </c>
      <c r="E2220" s="36">
        <v>32</v>
      </c>
      <c r="F2220" s="37"/>
      <c r="G2220" s="36"/>
    </row>
    <row r="2221" spans="1:7">
      <c r="A2221" s="34" t="s">
        <v>3130</v>
      </c>
      <c r="B2221" s="35" t="s">
        <v>3131</v>
      </c>
      <c r="C2221" s="35"/>
      <c r="D2221" s="36" t="s">
        <v>3132</v>
      </c>
      <c r="E2221" s="36">
        <v>32</v>
      </c>
      <c r="F2221" s="37"/>
      <c r="G2221" s="36"/>
    </row>
    <row r="2222" spans="1:7">
      <c r="A2222" s="34" t="s">
        <v>3133</v>
      </c>
      <c r="B2222" s="35" t="s">
        <v>3134</v>
      </c>
      <c r="C2222" s="35"/>
      <c r="D2222" s="36" t="s">
        <v>3135</v>
      </c>
      <c r="E2222" s="36">
        <v>16</v>
      </c>
      <c r="F2222" s="37" t="s">
        <v>3136</v>
      </c>
      <c r="G2222" s="36"/>
    </row>
    <row r="2223" spans="1:7">
      <c r="A2223" s="34" t="s">
        <v>3137</v>
      </c>
      <c r="B2223" s="35" t="s">
        <v>3138</v>
      </c>
      <c r="C2223" s="35"/>
      <c r="D2223" s="36" t="s">
        <v>3139</v>
      </c>
      <c r="E2223" s="36">
        <v>16</v>
      </c>
      <c r="F2223" s="37"/>
      <c r="G2223" s="36"/>
    </row>
    <row r="2224" spans="1:7">
      <c r="A2224" s="34" t="s">
        <v>3140</v>
      </c>
      <c r="B2224" s="35" t="s">
        <v>3141</v>
      </c>
      <c r="C2224" s="35"/>
      <c r="D2224" s="36" t="s">
        <v>3142</v>
      </c>
      <c r="E2224" s="36">
        <v>8</v>
      </c>
      <c r="F2224" s="37" t="s">
        <v>3143</v>
      </c>
      <c r="G2224" s="36"/>
    </row>
    <row r="2225" spans="1:7">
      <c r="A2225" s="34" t="s">
        <v>3144</v>
      </c>
      <c r="B2225" s="35" t="s">
        <v>3145</v>
      </c>
      <c r="C2225" s="35"/>
      <c r="D2225" s="36" t="s">
        <v>3146</v>
      </c>
      <c r="E2225" s="36">
        <v>8</v>
      </c>
      <c r="F2225" s="37"/>
      <c r="G2225" s="36"/>
    </row>
    <row r="2226" spans="1:7">
      <c r="A2226" s="34" t="s">
        <v>3147</v>
      </c>
      <c r="B2226" s="35" t="s">
        <v>3148</v>
      </c>
      <c r="C2226" s="35"/>
      <c r="D2226" s="36" t="s">
        <v>3149</v>
      </c>
      <c r="E2226" s="36">
        <v>8</v>
      </c>
      <c r="F2226" s="37"/>
      <c r="G2226" s="36"/>
    </row>
    <row r="2227" spans="1:7">
      <c r="A2227" s="34" t="s">
        <v>3150</v>
      </c>
      <c r="B2227" s="35" t="s">
        <v>3151</v>
      </c>
      <c r="C2227" s="35"/>
      <c r="D2227" s="36" t="s">
        <v>3152</v>
      </c>
      <c r="E2227" s="36">
        <v>8</v>
      </c>
      <c r="F2227" s="37"/>
      <c r="G2227" s="36"/>
    </row>
    <row r="2228" spans="1:7">
      <c r="A2228" s="34" t="s">
        <v>3153</v>
      </c>
      <c r="B2228" s="35" t="s">
        <v>3154</v>
      </c>
      <c r="C2228" s="35"/>
      <c r="D2228" s="36" t="s">
        <v>3155</v>
      </c>
      <c r="E2228" s="36">
        <v>8</v>
      </c>
      <c r="F2228" s="37"/>
      <c r="G2228" s="36"/>
    </row>
    <row r="2229" spans="1:7">
      <c r="A2229" s="34" t="s">
        <v>3156</v>
      </c>
      <c r="B2229" s="35" t="s">
        <v>3157</v>
      </c>
      <c r="C2229" s="35"/>
      <c r="D2229" s="36" t="s">
        <v>3158</v>
      </c>
      <c r="E2229" s="36">
        <v>8</v>
      </c>
      <c r="F2229" s="37"/>
      <c r="G2229" s="36"/>
    </row>
    <row r="2230" spans="1:7">
      <c r="A2230" s="34" t="s">
        <v>3159</v>
      </c>
      <c r="B2230" s="35" t="s">
        <v>3160</v>
      </c>
      <c r="C2230" s="35"/>
      <c r="D2230" s="36" t="s">
        <v>3161</v>
      </c>
      <c r="E2230" s="36">
        <v>8</v>
      </c>
      <c r="F2230" s="37"/>
      <c r="G2230" s="36"/>
    </row>
    <row r="2231" spans="1:7">
      <c r="A2231" s="34" t="s">
        <v>3162</v>
      </c>
      <c r="B2231" s="35" t="s">
        <v>3163</v>
      </c>
      <c r="C2231" s="35"/>
      <c r="D2231" s="36" t="s">
        <v>3164</v>
      </c>
      <c r="E2231" s="36">
        <v>8</v>
      </c>
      <c r="F2231" s="37"/>
      <c r="G2231" s="36"/>
    </row>
    <row r="2232" spans="1:7">
      <c r="A2232" s="34" t="s">
        <v>3165</v>
      </c>
      <c r="B2232" s="35" t="s">
        <v>3166</v>
      </c>
      <c r="C2232" s="35"/>
      <c r="D2232" s="36" t="s">
        <v>3167</v>
      </c>
      <c r="E2232" s="36">
        <v>8</v>
      </c>
      <c r="F2232" s="37"/>
      <c r="G2232" s="36"/>
    </row>
    <row r="2233" spans="1:7">
      <c r="A2233" s="34" t="s">
        <v>3168</v>
      </c>
      <c r="B2233" s="35" t="s">
        <v>3169</v>
      </c>
      <c r="C2233" s="35"/>
      <c r="D2233" s="36" t="s">
        <v>3170</v>
      </c>
      <c r="E2233" s="36">
        <v>8</v>
      </c>
      <c r="F2233" s="37"/>
      <c r="G2233" s="36"/>
    </row>
    <row r="2234" spans="1:7">
      <c r="A2234" s="34" t="s">
        <v>3171</v>
      </c>
      <c r="B2234" s="35" t="s">
        <v>3172</v>
      </c>
      <c r="C2234" s="35"/>
      <c r="D2234" s="36" t="s">
        <v>3173</v>
      </c>
      <c r="E2234" s="36">
        <v>8</v>
      </c>
      <c r="F2234" s="37"/>
      <c r="G2234" s="36"/>
    </row>
    <row r="2235" spans="1:7">
      <c r="A2235" s="34" t="s">
        <v>3174</v>
      </c>
      <c r="B2235" s="35" t="s">
        <v>3175</v>
      </c>
      <c r="C2235" s="35"/>
      <c r="D2235" s="36" t="s">
        <v>3176</v>
      </c>
      <c r="E2235" s="36">
        <v>8</v>
      </c>
      <c r="F2235" s="37"/>
      <c r="G2235" s="36"/>
    </row>
    <row r="2236" spans="1:7">
      <c r="A2236" s="34" t="s">
        <v>3177</v>
      </c>
      <c r="B2236" s="35" t="s">
        <v>3178</v>
      </c>
      <c r="C2236" s="35"/>
      <c r="D2236" s="36" t="s">
        <v>3179</v>
      </c>
      <c r="E2236" s="36">
        <v>8</v>
      </c>
      <c r="F2236" s="37"/>
      <c r="G2236" s="36"/>
    </row>
    <row r="2237" spans="1:7">
      <c r="A2237" s="34" t="s">
        <v>3180</v>
      </c>
      <c r="B2237" s="35" t="s">
        <v>3181</v>
      </c>
      <c r="C2237" s="35"/>
      <c r="D2237" s="36" t="s">
        <v>3182</v>
      </c>
      <c r="E2237" s="36">
        <v>8</v>
      </c>
      <c r="F2237" s="37"/>
      <c r="G2237" s="36"/>
    </row>
    <row r="2238" spans="1:7">
      <c r="A2238" s="34" t="s">
        <v>3183</v>
      </c>
      <c r="B2238" s="35" t="s">
        <v>3184</v>
      </c>
      <c r="C2238" s="35"/>
      <c r="D2238" s="36" t="s">
        <v>3185</v>
      </c>
      <c r="E2238" s="36">
        <v>8</v>
      </c>
      <c r="F2238" s="37"/>
      <c r="G2238" s="36"/>
    </row>
    <row r="2239" spans="1:7">
      <c r="A2239" s="34" t="s">
        <v>3186</v>
      </c>
      <c r="B2239" s="35" t="s">
        <v>3187</v>
      </c>
      <c r="C2239" s="35"/>
      <c r="D2239" s="36" t="s">
        <v>3188</v>
      </c>
      <c r="E2239" s="36">
        <v>8</v>
      </c>
      <c r="F2239" s="37"/>
      <c r="G2239" s="36"/>
    </row>
    <row r="2240" spans="1:7">
      <c r="A2240" s="34" t="s">
        <v>3189</v>
      </c>
      <c r="B2240" s="35" t="s">
        <v>3190</v>
      </c>
      <c r="C2240" s="35"/>
      <c r="D2240" s="36" t="s">
        <v>3191</v>
      </c>
      <c r="E2240" s="36">
        <v>8</v>
      </c>
      <c r="F2240" s="37"/>
      <c r="G2240" s="36"/>
    </row>
    <row r="2241" spans="1:7">
      <c r="A2241" s="34" t="s">
        <v>3192</v>
      </c>
      <c r="B2241" s="35" t="s">
        <v>3193</v>
      </c>
      <c r="C2241" s="35"/>
      <c r="D2241" s="36" t="s">
        <v>3194</v>
      </c>
      <c r="E2241" s="36">
        <v>8</v>
      </c>
      <c r="F2241" s="37"/>
      <c r="G2241" s="36"/>
    </row>
    <row r="2242" spans="1:7">
      <c r="A2242" s="34" t="s">
        <v>3195</v>
      </c>
      <c r="B2242" s="35" t="s">
        <v>3196</v>
      </c>
      <c r="C2242" s="35"/>
      <c r="D2242" s="36" t="s">
        <v>3197</v>
      </c>
      <c r="E2242" s="36">
        <v>8</v>
      </c>
      <c r="F2242" s="37"/>
      <c r="G2242" s="36"/>
    </row>
    <row r="2243" spans="1:7">
      <c r="A2243" s="34" t="s">
        <v>3198</v>
      </c>
      <c r="B2243" s="35" t="s">
        <v>3199</v>
      </c>
      <c r="C2243" s="35"/>
      <c r="D2243" s="36" t="s">
        <v>3200</v>
      </c>
      <c r="E2243" s="36">
        <v>8</v>
      </c>
      <c r="F2243" s="37"/>
      <c r="G2243" s="36"/>
    </row>
    <row r="2244" spans="1:7">
      <c r="A2244" s="34" t="s">
        <v>3201</v>
      </c>
      <c r="B2244" s="35" t="s">
        <v>3202</v>
      </c>
      <c r="C2244" s="35"/>
      <c r="D2244" s="36" t="s">
        <v>3203</v>
      </c>
      <c r="E2244" s="36">
        <v>8</v>
      </c>
      <c r="F2244" s="37"/>
      <c r="G2244" s="36"/>
    </row>
    <row r="2245" spans="1:7">
      <c r="A2245" s="34" t="s">
        <v>3204</v>
      </c>
      <c r="B2245" s="35" t="s">
        <v>3205</v>
      </c>
      <c r="C2245" s="35"/>
      <c r="D2245" s="36" t="s">
        <v>3206</v>
      </c>
      <c r="E2245" s="36">
        <v>8</v>
      </c>
      <c r="F2245" s="37"/>
      <c r="G2245" s="36"/>
    </row>
    <row r="2246" spans="1:7">
      <c r="A2246" s="34" t="s">
        <v>3207</v>
      </c>
      <c r="B2246" s="35" t="s">
        <v>3208</v>
      </c>
      <c r="C2246" s="35"/>
      <c r="D2246" s="36" t="s">
        <v>3209</v>
      </c>
      <c r="E2246" s="36">
        <v>8</v>
      </c>
      <c r="F2246" s="37"/>
      <c r="G2246" s="36"/>
    </row>
    <row r="2247" spans="1:7">
      <c r="A2247" s="34" t="s">
        <v>3210</v>
      </c>
      <c r="B2247" s="35" t="s">
        <v>3211</v>
      </c>
      <c r="C2247" s="35"/>
      <c r="D2247" s="36"/>
      <c r="E2247" s="36">
        <v>8</v>
      </c>
      <c r="F2247" s="37"/>
      <c r="G2247" s="36"/>
    </row>
    <row r="2248" spans="1:7">
      <c r="A2248" s="34" t="s">
        <v>3212</v>
      </c>
      <c r="B2248" s="35" t="s">
        <v>3213</v>
      </c>
      <c r="C2248" s="35"/>
      <c r="D2248" s="36" t="s">
        <v>3214</v>
      </c>
      <c r="E2248" s="36">
        <v>8</v>
      </c>
      <c r="F2248" s="37"/>
      <c r="G2248" s="36"/>
    </row>
    <row r="2249" spans="1:7">
      <c r="A2249" s="34" t="s">
        <v>3215</v>
      </c>
      <c r="B2249" s="35" t="s">
        <v>3216</v>
      </c>
      <c r="C2249" s="35"/>
      <c r="D2249" s="36"/>
      <c r="E2249" s="36">
        <v>8</v>
      </c>
      <c r="F2249" s="37"/>
      <c r="G2249" s="36"/>
    </row>
    <row r="2250" spans="1:7">
      <c r="A2250" s="34" t="s">
        <v>3217</v>
      </c>
      <c r="B2250" s="35" t="s">
        <v>3218</v>
      </c>
      <c r="C2250" s="35"/>
      <c r="D2250" s="36" t="s">
        <v>3219</v>
      </c>
      <c r="E2250" s="36">
        <v>16</v>
      </c>
      <c r="F2250" s="37"/>
      <c r="G2250" s="36"/>
    </row>
    <row r="2251" spans="1:7">
      <c r="A2251" s="34" t="s">
        <v>3220</v>
      </c>
      <c r="B2251" s="35" t="s">
        <v>3221</v>
      </c>
      <c r="C2251" s="35"/>
      <c r="D2251" s="36" t="s">
        <v>3222</v>
      </c>
      <c r="E2251" s="36">
        <v>16</v>
      </c>
      <c r="F2251" s="37"/>
      <c r="G2251" s="36"/>
    </row>
    <row r="2252" spans="1:7">
      <c r="A2252" s="34" t="s">
        <v>3223</v>
      </c>
      <c r="B2252" s="35" t="s">
        <v>3224</v>
      </c>
      <c r="C2252" s="35"/>
      <c r="D2252" s="36" t="s">
        <v>3225</v>
      </c>
      <c r="E2252" s="36">
        <v>16</v>
      </c>
      <c r="F2252" s="37"/>
      <c r="G2252" s="36"/>
    </row>
    <row r="2253" spans="1:7">
      <c r="A2253" s="34" t="s">
        <v>3226</v>
      </c>
      <c r="B2253" s="35" t="s">
        <v>3227</v>
      </c>
      <c r="C2253" s="35"/>
      <c r="D2253" s="36" t="s">
        <v>3228</v>
      </c>
      <c r="E2253" s="36">
        <v>16</v>
      </c>
      <c r="F2253" s="37"/>
      <c r="G2253" s="36"/>
    </row>
    <row r="2254" spans="1:7">
      <c r="A2254" s="34" t="s">
        <v>3229</v>
      </c>
      <c r="B2254" s="35" t="s">
        <v>3230</v>
      </c>
      <c r="C2254" s="35"/>
      <c r="D2254" s="36"/>
      <c r="E2254" s="36">
        <v>16</v>
      </c>
      <c r="F2254" s="37"/>
      <c r="G2254" s="36"/>
    </row>
    <row r="2255" spans="1:7">
      <c r="A2255" s="34" t="s">
        <v>3231</v>
      </c>
      <c r="B2255" s="35" t="s">
        <v>3232</v>
      </c>
      <c r="C2255" s="35"/>
      <c r="D2255" s="36" t="s">
        <v>3233</v>
      </c>
      <c r="E2255" s="36">
        <v>32</v>
      </c>
      <c r="F2255" s="37"/>
      <c r="G2255" s="36"/>
    </row>
    <row r="2256" spans="1:7">
      <c r="A2256" s="34" t="s">
        <v>3234</v>
      </c>
      <c r="B2256" s="35" t="s">
        <v>3235</v>
      </c>
      <c r="C2256" s="35"/>
      <c r="D2256" s="36" t="s">
        <v>3236</v>
      </c>
      <c r="E2256" s="36">
        <v>32</v>
      </c>
      <c r="F2256" s="37" t="s">
        <v>3237</v>
      </c>
      <c r="G2256" s="36"/>
    </row>
    <row r="2257" spans="1:7">
      <c r="A2257" s="34" t="s">
        <v>3238</v>
      </c>
      <c r="B2257" s="35" t="s">
        <v>3239</v>
      </c>
      <c r="C2257" s="35"/>
      <c r="D2257" s="36" t="s">
        <v>3240</v>
      </c>
      <c r="E2257" s="36">
        <v>32</v>
      </c>
      <c r="F2257" s="37"/>
      <c r="G2257" s="36"/>
    </row>
    <row r="2258" spans="1:7">
      <c r="A2258" s="34" t="s">
        <v>3241</v>
      </c>
      <c r="B2258" s="35" t="s">
        <v>3242</v>
      </c>
      <c r="C2258" s="35"/>
      <c r="D2258" s="36" t="s">
        <v>3243</v>
      </c>
      <c r="E2258" s="36">
        <v>32</v>
      </c>
      <c r="F2258" s="37"/>
      <c r="G2258" s="36"/>
    </row>
    <row r="2259" spans="1:7">
      <c r="A2259" s="34" t="s">
        <v>3244</v>
      </c>
      <c r="B2259" s="35" t="s">
        <v>3245</v>
      </c>
      <c r="C2259" s="35"/>
      <c r="D2259" s="36"/>
      <c r="E2259" s="36">
        <v>32</v>
      </c>
      <c r="F2259" s="37"/>
      <c r="G2259" s="36"/>
    </row>
    <row r="2260" spans="1:7">
      <c r="A2260" s="34" t="s">
        <v>3246</v>
      </c>
      <c r="B2260" s="35" t="s">
        <v>3247</v>
      </c>
      <c r="C2260" s="35"/>
      <c r="D2260" s="36"/>
      <c r="E2260" s="36">
        <v>32</v>
      </c>
      <c r="F2260" s="37"/>
      <c r="G2260" s="36"/>
    </row>
    <row r="2261" spans="1:7">
      <c r="A2261" s="34" t="s">
        <v>3248</v>
      </c>
      <c r="B2261" s="35" t="s">
        <v>3249</v>
      </c>
      <c r="C2261" s="35"/>
      <c r="D2261" s="36" t="s">
        <v>3250</v>
      </c>
      <c r="E2261" s="36">
        <v>32</v>
      </c>
      <c r="F2261" s="37" t="s">
        <v>2884</v>
      </c>
      <c r="G2261" s="36"/>
    </row>
    <row r="2262" spans="1:7">
      <c r="A2262" s="34" t="s">
        <v>3251</v>
      </c>
      <c r="B2262" s="35" t="s">
        <v>3252</v>
      </c>
      <c r="C2262" s="35"/>
      <c r="D2262" s="36"/>
      <c r="E2262" s="36"/>
      <c r="F2262" s="37"/>
      <c r="G2262" s="36"/>
    </row>
    <row r="2263" spans="1:7">
      <c r="A2263" s="34" t="s">
        <v>3253</v>
      </c>
      <c r="B2263" s="35" t="s">
        <v>3254</v>
      </c>
      <c r="C2263" s="35"/>
      <c r="D2263" s="36" t="s">
        <v>3255</v>
      </c>
      <c r="E2263" s="36">
        <v>16</v>
      </c>
      <c r="F2263" s="37"/>
      <c r="G2263" s="36"/>
    </row>
    <row r="2264" spans="1:7">
      <c r="A2264" s="34" t="s">
        <v>3256</v>
      </c>
      <c r="B2264" s="35" t="s">
        <v>3257</v>
      </c>
      <c r="C2264" s="35"/>
      <c r="D2264" s="36" t="s">
        <v>3258</v>
      </c>
      <c r="E2264" s="36">
        <v>32</v>
      </c>
      <c r="F2264" s="37"/>
      <c r="G2264" s="36"/>
    </row>
    <row r="2265" spans="1:7">
      <c r="A2265" s="34" t="s">
        <v>3259</v>
      </c>
      <c r="B2265" s="35" t="s">
        <v>3260</v>
      </c>
      <c r="C2265" s="35"/>
      <c r="D2265" s="36"/>
      <c r="E2265" s="36">
        <v>16</v>
      </c>
      <c r="F2265" s="37"/>
      <c r="G2265" s="36"/>
    </row>
    <row r="2267" spans="1:7">
      <c r="A2267" s="39" t="s">
        <v>3261</v>
      </c>
      <c r="B2267" s="40" t="s">
        <v>521</v>
      </c>
      <c r="C2267" s="40"/>
      <c r="D2267" s="41" t="s">
        <v>3262</v>
      </c>
      <c r="E2267" s="42"/>
      <c r="F2267" s="43"/>
      <c r="G2267" s="42"/>
    </row>
    <row r="2268" spans="1:7">
      <c r="A2268" s="39" t="s">
        <v>3263</v>
      </c>
      <c r="B2268" s="40" t="s">
        <v>536</v>
      </c>
      <c r="C2268" s="40"/>
      <c r="D2268" s="41"/>
      <c r="E2268" s="42"/>
      <c r="F2268" s="43"/>
      <c r="G2268" s="42"/>
    </row>
    <row r="2269" spans="1:7">
      <c r="A2269" s="39" t="s">
        <v>3264</v>
      </c>
      <c r="B2269" s="40" t="s">
        <v>551</v>
      </c>
      <c r="C2269" s="40"/>
      <c r="D2269" s="41"/>
      <c r="E2269" s="42"/>
      <c r="F2269" s="43"/>
      <c r="G2269" s="42"/>
    </row>
    <row r="2270" spans="1:7">
      <c r="A2270" s="39" t="s">
        <v>3265</v>
      </c>
      <c r="B2270" s="40" t="s">
        <v>563</v>
      </c>
      <c r="C2270" s="40"/>
      <c r="D2270" s="41"/>
      <c r="E2270" s="42"/>
      <c r="F2270" s="43"/>
      <c r="G2270" s="42"/>
    </row>
    <row r="2271" spans="1:7">
      <c r="A2271" s="39" t="s">
        <v>3266</v>
      </c>
      <c r="B2271" s="40" t="s">
        <v>569</v>
      </c>
      <c r="C2271" s="40"/>
      <c r="D2271" s="42" t="s">
        <v>3267</v>
      </c>
      <c r="E2271" s="42">
        <v>16</v>
      </c>
      <c r="F2271" s="43"/>
      <c r="G2271" s="42"/>
    </row>
    <row r="2272" spans="1:7">
      <c r="A2272" s="39" t="s">
        <v>3268</v>
      </c>
      <c r="B2272" s="40" t="s">
        <v>575</v>
      </c>
      <c r="C2272" s="40"/>
      <c r="D2272" s="42" t="s">
        <v>287</v>
      </c>
      <c r="E2272" s="42">
        <v>16</v>
      </c>
      <c r="F2272" s="43"/>
      <c r="G2272" s="42"/>
    </row>
    <row r="2273" spans="1:7">
      <c r="A2273" s="39" t="s">
        <v>3269</v>
      </c>
      <c r="B2273" s="40" t="s">
        <v>581</v>
      </c>
      <c r="C2273" s="40"/>
      <c r="D2273" s="42" t="s">
        <v>3270</v>
      </c>
      <c r="E2273" s="42">
        <v>16</v>
      </c>
      <c r="F2273" s="43"/>
      <c r="G2273" s="42"/>
    </row>
    <row r="2274" spans="1:7">
      <c r="A2274" s="39" t="s">
        <v>3271</v>
      </c>
      <c r="B2274" s="40" t="s">
        <v>587</v>
      </c>
      <c r="C2274" s="40"/>
      <c r="D2274" s="42" t="s">
        <v>192</v>
      </c>
      <c r="E2274" s="42">
        <v>16</v>
      </c>
      <c r="F2274" s="43"/>
      <c r="G2274" s="42"/>
    </row>
    <row r="2275" spans="1:7">
      <c r="A2275" s="39" t="s">
        <v>3272</v>
      </c>
      <c r="B2275" s="40" t="s">
        <v>595</v>
      </c>
      <c r="C2275" s="40"/>
      <c r="D2275" s="42" t="s">
        <v>192</v>
      </c>
      <c r="E2275" s="42">
        <v>16</v>
      </c>
      <c r="F2275" s="43"/>
      <c r="G2275" s="42"/>
    </row>
    <row r="2276" spans="1:7">
      <c r="A2276" s="39" t="s">
        <v>3273</v>
      </c>
      <c r="B2276" s="40" t="s">
        <v>601</v>
      </c>
      <c r="C2276" s="40"/>
      <c r="D2276" s="42" t="s">
        <v>273</v>
      </c>
      <c r="E2276" s="42">
        <v>16</v>
      </c>
      <c r="F2276" s="43"/>
      <c r="G2276" s="42"/>
    </row>
    <row r="2277" spans="1:7">
      <c r="A2277" s="39" t="s">
        <v>3274</v>
      </c>
      <c r="B2277" s="40" t="s">
        <v>609</v>
      </c>
      <c r="C2277" s="40"/>
      <c r="D2277" s="42" t="s">
        <v>3275</v>
      </c>
      <c r="E2277" s="42">
        <v>16</v>
      </c>
      <c r="F2277" s="43"/>
      <c r="G2277" s="42"/>
    </row>
    <row r="2278" spans="1:7">
      <c r="A2278" s="39" t="s">
        <v>3276</v>
      </c>
      <c r="B2278" s="40" t="s">
        <v>615</v>
      </c>
      <c r="C2278" s="40"/>
      <c r="D2278" s="42" t="s">
        <v>3277</v>
      </c>
      <c r="E2278" s="42">
        <v>16</v>
      </c>
      <c r="F2278" s="43"/>
      <c r="G2278" s="42"/>
    </row>
    <row r="2279" spans="1:7">
      <c r="A2279" s="39" t="s">
        <v>3278</v>
      </c>
      <c r="B2279" s="40" t="s">
        <v>619</v>
      </c>
      <c r="C2279" s="40"/>
      <c r="D2279" s="42" t="s">
        <v>2608</v>
      </c>
      <c r="E2279" s="42">
        <v>16</v>
      </c>
      <c r="F2279" s="43"/>
      <c r="G2279" s="42"/>
    </row>
    <row r="2280" spans="1:7">
      <c r="A2280" s="39" t="s">
        <v>3279</v>
      </c>
      <c r="B2280" s="40" t="s">
        <v>626</v>
      </c>
      <c r="C2280" s="40"/>
      <c r="D2280" s="42" t="s">
        <v>3280</v>
      </c>
      <c r="E2280" s="42">
        <v>16</v>
      </c>
      <c r="F2280" s="43"/>
      <c r="G2280" s="42"/>
    </row>
    <row r="2281" spans="1:7">
      <c r="A2281" s="39" t="s">
        <v>3281</v>
      </c>
      <c r="B2281" s="40" t="s">
        <v>630</v>
      </c>
      <c r="C2281" s="40"/>
      <c r="D2281" s="42" t="s">
        <v>3282</v>
      </c>
      <c r="E2281" s="42">
        <v>16</v>
      </c>
      <c r="F2281" s="43"/>
      <c r="G2281" s="42"/>
    </row>
    <row r="2282" spans="1:7">
      <c r="A2282" s="39" t="s">
        <v>3283</v>
      </c>
      <c r="B2282" s="40" t="s">
        <v>638</v>
      </c>
      <c r="C2282" s="40"/>
      <c r="D2282" s="42" t="s">
        <v>3284</v>
      </c>
      <c r="E2282" s="42">
        <v>16</v>
      </c>
      <c r="F2282" s="43" t="s">
        <v>2884</v>
      </c>
      <c r="G2282" s="42"/>
    </row>
    <row r="2283" spans="1:7">
      <c r="A2283" s="39" t="s">
        <v>3285</v>
      </c>
      <c r="B2283" s="40" t="s">
        <v>645</v>
      </c>
      <c r="C2283" s="40"/>
      <c r="D2283" s="42" t="s">
        <v>3286</v>
      </c>
      <c r="E2283" s="42">
        <v>16</v>
      </c>
      <c r="F2283" s="43"/>
      <c r="G2283" s="42"/>
    </row>
    <row r="2284" spans="1:7">
      <c r="A2284" s="39" t="s">
        <v>3287</v>
      </c>
      <c r="B2284" s="40" t="s">
        <v>653</v>
      </c>
      <c r="C2284" s="40"/>
      <c r="D2284" s="42" t="s">
        <v>3288</v>
      </c>
      <c r="E2284" s="42">
        <v>16</v>
      </c>
      <c r="F2284" s="43"/>
      <c r="G2284" s="42"/>
    </row>
    <row r="2285" spans="1:7">
      <c r="A2285" s="39" t="s">
        <v>3289</v>
      </c>
      <c r="B2285" s="40" t="s">
        <v>656</v>
      </c>
      <c r="C2285" s="40"/>
      <c r="D2285" s="42" t="s">
        <v>3290</v>
      </c>
      <c r="E2285" s="42">
        <v>16</v>
      </c>
      <c r="F2285" s="43"/>
      <c r="G2285" s="42"/>
    </row>
    <row r="2286" spans="1:7">
      <c r="A2286" s="39" t="s">
        <v>3291</v>
      </c>
      <c r="B2286" s="40" t="s">
        <v>659</v>
      </c>
      <c r="C2286" s="40"/>
      <c r="D2286" s="42" t="s">
        <v>3292</v>
      </c>
      <c r="E2286" s="42">
        <v>16</v>
      </c>
      <c r="F2286" s="43"/>
      <c r="G2286" s="42"/>
    </row>
    <row r="2287" spans="1:7">
      <c r="A2287" s="39" t="s">
        <v>3293</v>
      </c>
      <c r="B2287" s="40" t="s">
        <v>662</v>
      </c>
      <c r="C2287" s="40"/>
      <c r="D2287" s="42" t="s">
        <v>3294</v>
      </c>
      <c r="E2287" s="42"/>
      <c r="F2287" s="43"/>
      <c r="G2287" s="42"/>
    </row>
    <row r="2288" spans="1:7">
      <c r="A2288" s="39" t="s">
        <v>3295</v>
      </c>
      <c r="B2288" s="40" t="s">
        <v>665</v>
      </c>
      <c r="C2288" s="40"/>
      <c r="D2288" s="42" t="s">
        <v>3296</v>
      </c>
      <c r="E2288" s="42">
        <v>16</v>
      </c>
      <c r="F2288" s="43" t="s">
        <v>2898</v>
      </c>
      <c r="G2288" s="42"/>
    </row>
    <row r="2289" spans="1:7">
      <c r="A2289" s="39" t="s">
        <v>3297</v>
      </c>
      <c r="B2289" s="40" t="s">
        <v>2900</v>
      </c>
      <c r="C2289" s="40"/>
      <c r="D2289" s="42" t="s">
        <v>3298</v>
      </c>
      <c r="E2289" s="42"/>
      <c r="F2289" s="43"/>
      <c r="G2289" s="42"/>
    </row>
    <row r="2290" spans="1:7">
      <c r="A2290" s="39" t="s">
        <v>3299</v>
      </c>
      <c r="B2290" s="40" t="s">
        <v>681</v>
      </c>
      <c r="C2290" s="40"/>
      <c r="D2290" s="42" t="s">
        <v>287</v>
      </c>
      <c r="E2290" s="42"/>
      <c r="F2290" s="43"/>
      <c r="G2290" s="42"/>
    </row>
    <row r="2291" spans="1:7">
      <c r="A2291" s="39" t="s">
        <v>3300</v>
      </c>
      <c r="B2291" s="40" t="s">
        <v>2903</v>
      </c>
      <c r="C2291" s="40"/>
      <c r="D2291" s="43" t="s">
        <v>3301</v>
      </c>
      <c r="E2291" s="42">
        <v>16</v>
      </c>
      <c r="F2291" s="42"/>
      <c r="G2291" s="42"/>
    </row>
    <row r="2292" spans="1:7">
      <c r="A2292" s="39" t="s">
        <v>3302</v>
      </c>
      <c r="B2292" s="40" t="s">
        <v>685</v>
      </c>
      <c r="C2292" s="40"/>
      <c r="D2292" s="44" t="s">
        <v>3303</v>
      </c>
      <c r="E2292" s="42">
        <v>16</v>
      </c>
      <c r="F2292" s="43"/>
      <c r="G2292" s="42"/>
    </row>
    <row r="2293" spans="1:7">
      <c r="A2293" s="39" t="s">
        <v>3304</v>
      </c>
      <c r="B2293" s="40" t="s">
        <v>688</v>
      </c>
      <c r="C2293" s="40"/>
      <c r="D2293" s="42" t="s">
        <v>3305</v>
      </c>
      <c r="E2293" s="42">
        <v>16</v>
      </c>
      <c r="F2293" s="43"/>
      <c r="G2293" s="42"/>
    </row>
    <row r="2294" spans="1:7">
      <c r="A2294" s="39" t="s">
        <v>3306</v>
      </c>
      <c r="B2294" s="40" t="s">
        <v>2503</v>
      </c>
      <c r="C2294" s="40"/>
      <c r="D2294" s="42" t="s">
        <v>3307</v>
      </c>
      <c r="E2294" s="42">
        <v>16</v>
      </c>
      <c r="F2294" s="43"/>
      <c r="G2294" s="42"/>
    </row>
    <row r="2295" spans="1:7">
      <c r="A2295" s="39" t="s">
        <v>3308</v>
      </c>
      <c r="B2295" s="40"/>
      <c r="C2295" s="40"/>
      <c r="D2295" s="42"/>
      <c r="E2295" s="42"/>
      <c r="F2295" s="43"/>
      <c r="G2295" s="42"/>
    </row>
    <row r="2296" spans="1:7">
      <c r="A2296" s="39" t="s">
        <v>3309</v>
      </c>
      <c r="B2296" s="40"/>
      <c r="C2296" s="40"/>
      <c r="D2296" s="42"/>
      <c r="E2296" s="42"/>
      <c r="F2296" s="43"/>
      <c r="G2296" s="42"/>
    </row>
    <row r="2297" spans="1:7">
      <c r="A2297" s="39" t="s">
        <v>3310</v>
      </c>
      <c r="B2297" s="40"/>
      <c r="C2297" s="40"/>
      <c r="D2297" s="42"/>
      <c r="E2297" s="42"/>
      <c r="F2297" s="43"/>
      <c r="G2297" s="42"/>
    </row>
    <row r="2298" spans="1:7">
      <c r="A2298" s="39" t="s">
        <v>3311</v>
      </c>
      <c r="B2298" s="40"/>
      <c r="C2298" s="40"/>
      <c r="D2298" s="42" t="s">
        <v>3312</v>
      </c>
      <c r="E2298" s="42"/>
      <c r="F2298" s="43"/>
      <c r="G2298" s="42"/>
    </row>
    <row r="2299" spans="1:7">
      <c r="A2299" s="39" t="s">
        <v>3313</v>
      </c>
      <c r="B2299" s="40"/>
      <c r="C2299" s="40"/>
      <c r="D2299" s="42"/>
      <c r="E2299" s="42"/>
      <c r="F2299" s="43"/>
      <c r="G2299" s="42"/>
    </row>
    <row r="2300" spans="1:7">
      <c r="A2300" s="39" t="s">
        <v>3314</v>
      </c>
      <c r="B2300" s="40"/>
      <c r="C2300" s="40"/>
      <c r="D2300" s="42"/>
      <c r="E2300" s="42"/>
      <c r="F2300" s="43"/>
      <c r="G2300" s="42"/>
    </row>
    <row r="2301" spans="1:7">
      <c r="A2301" s="39" t="s">
        <v>3315</v>
      </c>
      <c r="B2301" s="40"/>
      <c r="C2301" s="40"/>
      <c r="D2301" s="42"/>
      <c r="E2301" s="42"/>
      <c r="F2301" s="43"/>
      <c r="G2301" s="42"/>
    </row>
    <row r="2302" spans="1:7">
      <c r="A2302" s="39" t="s">
        <v>3316</v>
      </c>
      <c r="B2302" s="40"/>
      <c r="C2302" s="40"/>
      <c r="D2302" s="42"/>
      <c r="E2302" s="42"/>
      <c r="F2302" s="43"/>
      <c r="G2302" s="42"/>
    </row>
    <row r="2303" spans="1:7">
      <c r="A2303" s="39"/>
      <c r="B2303" s="40"/>
      <c r="C2303" s="40"/>
      <c r="D2303" s="42"/>
      <c r="E2303" s="42"/>
      <c r="F2303" s="43"/>
      <c r="G2303" s="42"/>
    </row>
    <row r="2304" spans="1:7">
      <c r="A2304" s="39"/>
      <c r="B2304" s="40"/>
      <c r="C2304" s="40"/>
      <c r="D2304" s="42"/>
      <c r="E2304" s="42"/>
      <c r="F2304" s="43"/>
      <c r="G2304" s="42"/>
    </row>
    <row r="2305" spans="1:7">
      <c r="A2305" s="39"/>
      <c r="B2305" s="40"/>
      <c r="C2305" s="40"/>
      <c r="D2305" s="42"/>
      <c r="E2305" s="42"/>
      <c r="F2305" s="43"/>
      <c r="G2305" s="42"/>
    </row>
    <row r="2306" spans="1:7">
      <c r="A2306" s="39"/>
      <c r="B2306" s="40"/>
      <c r="C2306" s="40"/>
      <c r="D2306" s="42"/>
      <c r="E2306" s="42"/>
      <c r="F2306" s="43"/>
      <c r="G2306" s="42"/>
    </row>
    <row r="2307" spans="1:7">
      <c r="A2307" s="39"/>
      <c r="B2307" s="40"/>
      <c r="C2307" s="40"/>
      <c r="D2307" s="42"/>
      <c r="E2307" s="42"/>
      <c r="F2307" s="43"/>
      <c r="G2307" s="42"/>
    </row>
    <row r="2308" spans="1:7">
      <c r="A2308" s="39"/>
      <c r="B2308" s="40"/>
      <c r="C2308" s="40"/>
      <c r="D2308" s="42"/>
      <c r="E2308" s="42"/>
      <c r="F2308" s="43"/>
      <c r="G2308" s="42"/>
    </row>
    <row r="2309" spans="1:7">
      <c r="A2309" s="39"/>
      <c r="B2309" s="40"/>
      <c r="C2309" s="40"/>
      <c r="D2309" s="42"/>
      <c r="E2309" s="42"/>
      <c r="F2309" s="43"/>
      <c r="G2309" s="42"/>
    </row>
    <row r="2310" spans="1:7">
      <c r="A2310" s="39" t="s">
        <v>3317</v>
      </c>
      <c r="B2310" s="40"/>
      <c r="C2310" s="40"/>
      <c r="D2310" s="42" t="s">
        <v>3318</v>
      </c>
      <c r="E2310" s="42">
        <v>16</v>
      </c>
      <c r="F2310" s="43" t="s">
        <v>2934</v>
      </c>
      <c r="G2310" s="42"/>
    </row>
    <row r="2311" spans="1:7">
      <c r="A2311" s="39" t="s">
        <v>3319</v>
      </c>
      <c r="B2311" s="40"/>
      <c r="C2311" s="40"/>
      <c r="D2311" s="42"/>
      <c r="E2311" s="42"/>
      <c r="F2311" s="43"/>
      <c r="G2311" s="42"/>
    </row>
    <row r="2312" spans="1:7">
      <c r="A2312" s="39" t="s">
        <v>3320</v>
      </c>
      <c r="B2312" s="40"/>
      <c r="C2312" s="40"/>
      <c r="D2312" s="42" t="s">
        <v>3321</v>
      </c>
      <c r="E2312" s="42">
        <v>16</v>
      </c>
      <c r="F2312" s="43" t="s">
        <v>3322</v>
      </c>
      <c r="G2312" s="42"/>
    </row>
    <row r="2313" spans="1:7">
      <c r="A2313" s="39"/>
      <c r="B2313" s="40"/>
      <c r="C2313" s="40"/>
      <c r="D2313" s="42"/>
      <c r="E2313" s="42"/>
      <c r="F2313" s="43"/>
      <c r="G2313" s="42"/>
    </row>
    <row r="2314" spans="1:7">
      <c r="A2314" s="39" t="s">
        <v>3323</v>
      </c>
      <c r="B2314" s="40"/>
      <c r="C2314" s="40"/>
      <c r="D2314" s="42" t="s">
        <v>3324</v>
      </c>
      <c r="E2314" s="42">
        <v>16</v>
      </c>
      <c r="F2314" s="43" t="s">
        <v>3325</v>
      </c>
      <c r="G2314" s="42"/>
    </row>
    <row r="2315" spans="1:7">
      <c r="A2315" s="39"/>
      <c r="B2315" s="40"/>
      <c r="C2315" s="40"/>
      <c r="D2315" s="42" t="s">
        <v>3326</v>
      </c>
      <c r="E2315" s="42">
        <v>8</v>
      </c>
      <c r="F2315" s="43" t="s">
        <v>3327</v>
      </c>
      <c r="G2315" s="42"/>
    </row>
    <row r="2316" spans="1:7">
      <c r="A2316" s="39"/>
      <c r="B2316" s="40"/>
      <c r="C2316" s="40"/>
      <c r="D2316" s="42"/>
      <c r="E2316" s="42"/>
      <c r="F2316" s="43"/>
      <c r="G2316" s="42"/>
    </row>
    <row r="2317" spans="1:7">
      <c r="A2317" s="39"/>
      <c r="B2317" s="40"/>
      <c r="C2317" s="40"/>
      <c r="D2317" s="42"/>
      <c r="E2317" s="42"/>
      <c r="F2317" s="43"/>
      <c r="G2317" s="42"/>
    </row>
    <row r="2318" spans="1:7">
      <c r="A2318" s="39" t="s">
        <v>3328</v>
      </c>
      <c r="B2318" s="40" t="s">
        <v>2974</v>
      </c>
      <c r="C2318" s="40"/>
      <c r="D2318" s="42" t="s">
        <v>3329</v>
      </c>
      <c r="E2318" s="42"/>
      <c r="F2318" s="43"/>
      <c r="G2318" s="42"/>
    </row>
    <row r="2319" spans="1:7">
      <c r="A2319" s="39" t="s">
        <v>3330</v>
      </c>
      <c r="B2319" s="40" t="s">
        <v>2813</v>
      </c>
      <c r="C2319" s="40"/>
      <c r="D2319" s="42" t="s">
        <v>3331</v>
      </c>
      <c r="E2319" s="42">
        <v>8</v>
      </c>
      <c r="F2319" s="43"/>
      <c r="G2319" s="42"/>
    </row>
    <row r="2320" spans="1:7">
      <c r="A2320" s="39" t="s">
        <v>3332</v>
      </c>
      <c r="B2320" s="40" t="s">
        <v>3333</v>
      </c>
      <c r="C2320" s="40"/>
      <c r="D2320" s="42" t="s">
        <v>3334</v>
      </c>
      <c r="E2320" s="42">
        <v>8</v>
      </c>
      <c r="F2320" s="43" t="s">
        <v>3335</v>
      </c>
      <c r="G2320" s="42"/>
    </row>
    <row r="2321" spans="1:7">
      <c r="A2321" s="39" t="s">
        <v>3336</v>
      </c>
      <c r="B2321" s="40" t="s">
        <v>2816</v>
      </c>
      <c r="C2321" s="40"/>
      <c r="D2321" s="42" t="s">
        <v>3337</v>
      </c>
      <c r="E2321" s="42">
        <v>16</v>
      </c>
      <c r="F2321" s="43" t="s">
        <v>3338</v>
      </c>
      <c r="G2321" s="42"/>
    </row>
    <row r="2322" spans="1:7">
      <c r="A2322" s="39" t="s">
        <v>3339</v>
      </c>
      <c r="B2322" s="40" t="s">
        <v>2996</v>
      </c>
      <c r="C2322" s="40"/>
      <c r="D2322" s="42" t="s">
        <v>3340</v>
      </c>
      <c r="E2322" s="42">
        <v>8</v>
      </c>
      <c r="F2322" s="43" t="s">
        <v>3341</v>
      </c>
      <c r="G2322" s="42"/>
    </row>
    <row r="2323" spans="1:7">
      <c r="A2323" s="39"/>
      <c r="B2323" s="40"/>
      <c r="C2323" s="40"/>
      <c r="D2323" s="42"/>
      <c r="E2323" s="42"/>
      <c r="F2323" s="43"/>
      <c r="G2323" s="42"/>
    </row>
    <row r="2324" spans="1:7">
      <c r="A2324" s="39" t="s">
        <v>3342</v>
      </c>
      <c r="B2324" s="40" t="s">
        <v>2522</v>
      </c>
      <c r="C2324" s="40"/>
      <c r="D2324" s="42" t="s">
        <v>3343</v>
      </c>
      <c r="E2324" s="42">
        <v>8</v>
      </c>
      <c r="F2324" s="43"/>
      <c r="G2324" s="42"/>
    </row>
    <row r="2325" spans="1:7">
      <c r="A2325" s="39"/>
      <c r="B2325" s="40"/>
      <c r="C2325" s="40"/>
      <c r="D2325" s="42"/>
      <c r="E2325" s="42"/>
      <c r="F2325" s="43"/>
      <c r="G2325" s="42"/>
    </row>
    <row r="2326" spans="1:7">
      <c r="A2326" s="39"/>
      <c r="B2326" s="40"/>
      <c r="C2326" s="40"/>
      <c r="D2326" s="42"/>
      <c r="E2326" s="42"/>
      <c r="F2326" s="43"/>
      <c r="G2326" s="42"/>
    </row>
    <row r="2327" spans="1:7">
      <c r="A2327" s="39" t="s">
        <v>3344</v>
      </c>
      <c r="B2327" s="40" t="s">
        <v>2821</v>
      </c>
      <c r="C2327" s="40"/>
      <c r="D2327" s="42" t="s">
        <v>3345</v>
      </c>
      <c r="E2327" s="42">
        <v>8</v>
      </c>
      <c r="F2327" s="43" t="s">
        <v>3013</v>
      </c>
      <c r="G2327" s="42"/>
    </row>
    <row r="2328" spans="1:7">
      <c r="A2328" s="39"/>
      <c r="B2328" s="40"/>
      <c r="C2328" s="40"/>
      <c r="D2328" s="42"/>
      <c r="E2328" s="42"/>
      <c r="F2328" s="43"/>
      <c r="G2328" s="42"/>
    </row>
    <row r="2329" spans="1:7">
      <c r="A2329" s="39" t="s">
        <v>3346</v>
      </c>
      <c r="B2329" s="40"/>
      <c r="C2329" s="40"/>
      <c r="D2329" s="42" t="s">
        <v>3347</v>
      </c>
      <c r="E2329" s="42">
        <v>32</v>
      </c>
      <c r="F2329" s="43"/>
      <c r="G2329" s="42"/>
    </row>
    <row r="2330" spans="1:7">
      <c r="A2330" s="39" t="s">
        <v>3348</v>
      </c>
      <c r="B2330" s="40"/>
      <c r="C2330" s="40"/>
      <c r="D2330" s="42" t="s">
        <v>3347</v>
      </c>
      <c r="E2330" s="42">
        <v>32</v>
      </c>
      <c r="F2330" s="43"/>
      <c r="G2330" s="42"/>
    </row>
    <row r="2331" spans="1:7">
      <c r="A2331" s="39" t="s">
        <v>3349</v>
      </c>
      <c r="B2331" s="40"/>
      <c r="C2331" s="40"/>
      <c r="D2331" s="42" t="s">
        <v>3347</v>
      </c>
      <c r="E2331" s="42">
        <v>32</v>
      </c>
      <c r="F2331" s="43"/>
      <c r="G2331" s="42"/>
    </row>
    <row r="2332" spans="1:7">
      <c r="A2332" s="39" t="s">
        <v>3350</v>
      </c>
      <c r="B2332" s="40"/>
      <c r="C2332" s="40"/>
      <c r="D2332" s="42" t="s">
        <v>3351</v>
      </c>
      <c r="E2332" s="42">
        <v>32</v>
      </c>
      <c r="F2332" s="43" t="s">
        <v>3352</v>
      </c>
      <c r="G2332" s="42"/>
    </row>
    <row r="2333" spans="1:7">
      <c r="A2333" s="39"/>
      <c r="B2333" s="40"/>
      <c r="C2333" s="40"/>
      <c r="D2333" s="42"/>
      <c r="E2333" s="42"/>
      <c r="F2333" s="43"/>
      <c r="G2333" s="42"/>
    </row>
    <row r="2334" spans="1:7">
      <c r="A2334" s="39"/>
      <c r="B2334" s="40"/>
      <c r="C2334" s="40"/>
      <c r="D2334" s="42"/>
      <c r="E2334" s="42"/>
      <c r="F2334" s="43"/>
      <c r="G2334" s="42"/>
    </row>
    <row r="2335" spans="1:7">
      <c r="A2335" s="39"/>
      <c r="B2335" s="40"/>
      <c r="C2335" s="40"/>
      <c r="D2335" s="42"/>
      <c r="E2335" s="42"/>
      <c r="F2335" s="43"/>
      <c r="G2335" s="42"/>
    </row>
    <row r="2336" spans="1:7">
      <c r="A2336" s="39"/>
      <c r="B2336" s="40"/>
      <c r="C2336" s="40"/>
      <c r="D2336" s="42"/>
      <c r="E2336" s="42"/>
      <c r="F2336" s="43"/>
      <c r="G2336" s="42"/>
    </row>
    <row r="2337" spans="1:7">
      <c r="A2337" s="39" t="s">
        <v>3353</v>
      </c>
      <c r="B2337" s="40"/>
      <c r="C2337" s="40"/>
      <c r="D2337" s="42" t="s">
        <v>3354</v>
      </c>
      <c r="E2337" s="42">
        <v>32</v>
      </c>
      <c r="F2337" s="43"/>
      <c r="G2337" s="42"/>
    </row>
    <row r="2338" spans="1:7">
      <c r="A2338" s="39" t="s">
        <v>3355</v>
      </c>
      <c r="B2338" s="40"/>
      <c r="C2338" s="40"/>
      <c r="D2338" s="42" t="s">
        <v>3356</v>
      </c>
      <c r="E2338" s="42">
        <v>32</v>
      </c>
      <c r="F2338" s="43"/>
      <c r="G2338" s="42"/>
    </row>
    <row r="2339" spans="1:7">
      <c r="A2339" s="39" t="s">
        <v>3357</v>
      </c>
      <c r="B2339" s="40"/>
      <c r="C2339" s="40"/>
      <c r="D2339" s="42" t="s">
        <v>3358</v>
      </c>
      <c r="E2339" s="42">
        <v>32</v>
      </c>
      <c r="F2339" s="43"/>
      <c r="G2339" s="42"/>
    </row>
    <row r="2340" spans="1:7">
      <c r="A2340" s="39" t="s">
        <v>3359</v>
      </c>
      <c r="B2340" s="40"/>
      <c r="C2340" s="40"/>
      <c r="D2340" s="42" t="s">
        <v>3360</v>
      </c>
      <c r="E2340" s="42">
        <v>32</v>
      </c>
      <c r="F2340" s="43"/>
      <c r="G2340" s="42"/>
    </row>
    <row r="2341" spans="1:7">
      <c r="A2341" s="39" t="s">
        <v>3361</v>
      </c>
      <c r="B2341" s="40"/>
      <c r="C2341" s="40"/>
      <c r="D2341" s="42" t="s">
        <v>3362</v>
      </c>
      <c r="E2341" s="42">
        <v>32</v>
      </c>
      <c r="F2341" s="43"/>
      <c r="G2341" s="42"/>
    </row>
    <row r="2342" spans="1:7">
      <c r="A2342" s="39"/>
      <c r="B2342" s="40"/>
      <c r="C2342" s="40"/>
      <c r="D2342" s="42"/>
      <c r="E2342" s="42"/>
      <c r="F2342" s="43"/>
      <c r="G2342" s="42"/>
    </row>
    <row r="2343" spans="1:7">
      <c r="A2343" s="39" t="s">
        <v>3363</v>
      </c>
      <c r="B2343" s="40"/>
      <c r="C2343" s="40"/>
      <c r="D2343" s="42" t="s">
        <v>3364</v>
      </c>
      <c r="E2343" s="42"/>
      <c r="F2343" s="43" t="s">
        <v>3365</v>
      </c>
      <c r="G2343" s="42"/>
    </row>
    <row r="2344" spans="1:7">
      <c r="A2344" s="39"/>
      <c r="B2344" s="40"/>
      <c r="C2344" s="40"/>
      <c r="D2344" s="42"/>
      <c r="E2344" s="42"/>
      <c r="F2344" s="43"/>
      <c r="G2344" s="42"/>
    </row>
    <row r="2345" spans="1:7">
      <c r="A2345" s="39" t="s">
        <v>3366</v>
      </c>
      <c r="B2345" s="40" t="s">
        <v>3367</v>
      </c>
      <c r="C2345" s="40"/>
      <c r="D2345" s="42" t="s">
        <v>3368</v>
      </c>
      <c r="E2345" s="42">
        <v>32</v>
      </c>
      <c r="F2345" s="43" t="s">
        <v>3369</v>
      </c>
      <c r="G2345" s="42"/>
    </row>
    <row r="2346" spans="1:7">
      <c r="A2346" s="39"/>
      <c r="B2346" s="40"/>
      <c r="C2346" s="40"/>
      <c r="D2346" s="42"/>
      <c r="E2346" s="42"/>
      <c r="F2346" s="43"/>
      <c r="G2346" s="42"/>
    </row>
    <row r="2347" spans="1:7">
      <c r="A2347" s="39" t="s">
        <v>3370</v>
      </c>
      <c r="B2347" s="40" t="s">
        <v>3148</v>
      </c>
      <c r="C2347" s="40"/>
      <c r="D2347" s="42" t="s">
        <v>3371</v>
      </c>
      <c r="E2347" s="42"/>
      <c r="F2347" s="43"/>
      <c r="G2347" s="42"/>
    </row>
    <row r="2348" spans="1:7">
      <c r="A2348" s="39"/>
      <c r="B2348" s="40"/>
      <c r="C2348" s="40"/>
      <c r="D2348" s="42"/>
      <c r="E2348" s="42"/>
      <c r="F2348" s="43"/>
      <c r="G2348" s="42"/>
    </row>
    <row r="2349" spans="1:7">
      <c r="A2349" s="39"/>
      <c r="B2349" s="40"/>
      <c r="C2349" s="40"/>
      <c r="D2349" s="42"/>
      <c r="E2349" s="42"/>
      <c r="F2349" s="43"/>
      <c r="G2349" s="42"/>
    </row>
    <row r="2350" spans="1:7">
      <c r="A2350" s="39" t="s">
        <v>3372</v>
      </c>
      <c r="B2350" s="40"/>
      <c r="C2350" s="40"/>
      <c r="D2350" s="42" t="s">
        <v>3373</v>
      </c>
      <c r="E2350" s="42"/>
      <c r="F2350" s="43"/>
      <c r="G2350" s="42"/>
    </row>
    <row r="2351" spans="1:7">
      <c r="A2351" s="39"/>
      <c r="B2351" s="40"/>
      <c r="C2351" s="40"/>
      <c r="D2351" s="42"/>
      <c r="E2351" s="42"/>
      <c r="F2351" s="43"/>
      <c r="G2351" s="42"/>
    </row>
    <row r="2352" spans="1:7">
      <c r="A2352" s="39" t="s">
        <v>3374</v>
      </c>
      <c r="B2352" s="40" t="s">
        <v>3232</v>
      </c>
      <c r="C2352" s="40"/>
      <c r="D2352" s="42" t="s">
        <v>3375</v>
      </c>
      <c r="E2352" s="42">
        <v>32</v>
      </c>
      <c r="F2352" s="43"/>
      <c r="G2352" s="42"/>
    </row>
    <row r="2353" spans="1:7">
      <c r="A2353" s="39" t="s">
        <v>3376</v>
      </c>
      <c r="B2353" s="40" t="s">
        <v>3235</v>
      </c>
      <c r="C2353" s="40"/>
      <c r="D2353" s="42" t="s">
        <v>3377</v>
      </c>
      <c r="E2353" s="42">
        <v>32</v>
      </c>
      <c r="F2353" s="43"/>
      <c r="G2353" s="42"/>
    </row>
    <row r="2354" spans="1:7">
      <c r="A2354" s="39" t="s">
        <v>3378</v>
      </c>
      <c r="B2354" s="40" t="s">
        <v>3239</v>
      </c>
      <c r="C2354" s="40"/>
      <c r="D2354" s="42" t="s">
        <v>3379</v>
      </c>
      <c r="E2354" s="42">
        <v>32</v>
      </c>
      <c r="F2354" s="43"/>
      <c r="G2354" s="42"/>
    </row>
    <row r="2355" spans="1:7">
      <c r="A2355" s="39"/>
      <c r="B2355" s="40"/>
      <c r="C2355" s="40"/>
      <c r="D2355" s="42"/>
      <c r="E2355" s="42"/>
      <c r="F2355" s="43"/>
      <c r="G2355" s="42"/>
    </row>
    <row r="2356" spans="1:7">
      <c r="A2356" s="39"/>
      <c r="B2356" s="40"/>
      <c r="C2356" s="40"/>
      <c r="D2356" s="42"/>
      <c r="E2356" s="42"/>
      <c r="F2356" s="43"/>
      <c r="G2356" s="42"/>
    </row>
    <row r="2357" spans="1:7">
      <c r="A2357" s="45" t="s">
        <v>3380</v>
      </c>
      <c r="B2357" s="46"/>
      <c r="C2357" s="46"/>
      <c r="D2357" s="47" t="s">
        <v>3381</v>
      </c>
      <c r="E2357" s="47">
        <v>32</v>
      </c>
      <c r="F2357" s="48"/>
      <c r="G2357" s="42"/>
    </row>
    <row r="2358" spans="1:7">
      <c r="A2358" s="45"/>
      <c r="B2358" s="46"/>
      <c r="C2358" s="46"/>
      <c r="D2358" s="47"/>
      <c r="E2358" s="47"/>
      <c r="F2358" s="48"/>
      <c r="G2358" s="42"/>
    </row>
    <row r="2359" spans="1:7">
      <c r="A2359" s="45" t="s">
        <v>3382</v>
      </c>
      <c r="B2359" s="46"/>
      <c r="C2359" s="46"/>
      <c r="D2359" s="47" t="s">
        <v>3383</v>
      </c>
      <c r="E2359" s="47">
        <v>16</v>
      </c>
      <c r="F2359" s="48"/>
    </row>
    <row r="2360" spans="1:7">
      <c r="A2360" s="45"/>
      <c r="B2360" s="46"/>
      <c r="C2360" s="46"/>
      <c r="D2360" s="47"/>
      <c r="E2360" s="47"/>
      <c r="F2360" s="48"/>
    </row>
    <row r="2361" spans="1:7">
      <c r="A2361" s="45" t="s">
        <v>3384</v>
      </c>
      <c r="B2361" s="46"/>
      <c r="C2361" s="46"/>
      <c r="D2361" s="47" t="s">
        <v>3385</v>
      </c>
      <c r="E2361" s="47"/>
      <c r="F2361" s="48"/>
    </row>
    <row r="2362" spans="1:7">
      <c r="A2362" s="45"/>
      <c r="B2362" s="46"/>
      <c r="C2362" s="46"/>
      <c r="D2362" s="47"/>
      <c r="E2362" s="47"/>
      <c r="F2362" s="48"/>
    </row>
    <row r="2363" spans="1:7">
      <c r="A2363" s="45"/>
      <c r="B2363" s="46"/>
      <c r="C2363" s="46"/>
      <c r="D2363" s="47"/>
      <c r="E2363" s="47"/>
      <c r="F2363" s="48"/>
    </row>
    <row r="2364" spans="1:7">
      <c r="A2364" s="45"/>
      <c r="B2364" s="46"/>
      <c r="C2364" s="46"/>
      <c r="D2364" s="47"/>
      <c r="E2364" s="47"/>
      <c r="F2364" s="48"/>
    </row>
    <row r="2365" spans="1:7">
      <c r="A2365" s="45" t="s">
        <v>3386</v>
      </c>
      <c r="B2365" s="46"/>
      <c r="C2365" s="46"/>
      <c r="D2365" s="47" t="s">
        <v>3387</v>
      </c>
      <c r="E2365" s="47"/>
      <c r="F2365" s="48"/>
    </row>
    <row r="2366" spans="1:7">
      <c r="A2366" s="45"/>
      <c r="B2366" s="46"/>
      <c r="C2366" s="46"/>
      <c r="D2366" s="47"/>
      <c r="E2366" s="47"/>
      <c r="F2366" s="48"/>
    </row>
    <row r="2367" spans="1:7">
      <c r="A2367" s="45"/>
      <c r="B2367" s="46"/>
      <c r="C2367" s="46"/>
      <c r="D2367" s="47"/>
      <c r="E2367" s="47"/>
      <c r="F2367" s="48"/>
    </row>
    <row r="2368" spans="1:7">
      <c r="A2368" s="45"/>
      <c r="B2368" s="46"/>
      <c r="C2368" s="46"/>
      <c r="D2368" s="47"/>
      <c r="E2368" s="47"/>
      <c r="F2368" s="48"/>
    </row>
    <row r="2369" spans="1:7">
      <c r="A2369" s="45" t="s">
        <v>3388</v>
      </c>
      <c r="B2369" s="46"/>
      <c r="C2369" s="46"/>
      <c r="D2369" s="47" t="s">
        <v>3334</v>
      </c>
      <c r="E2369" s="47">
        <v>8</v>
      </c>
      <c r="F2369" s="48" t="s">
        <v>3389</v>
      </c>
    </row>
    <row r="2370" spans="1:7">
      <c r="A2370" s="45"/>
      <c r="B2370" s="46"/>
      <c r="C2370" s="46"/>
      <c r="D2370" s="47"/>
      <c r="E2370" s="47"/>
      <c r="F2370" s="48"/>
    </row>
    <row r="2371" spans="1:7">
      <c r="A2371" s="45"/>
      <c r="B2371" s="46"/>
      <c r="C2371" s="46"/>
      <c r="D2371" s="47"/>
      <c r="E2371" s="47"/>
      <c r="F2371" s="48"/>
    </row>
    <row r="2372" spans="1:7">
      <c r="A2372" s="45"/>
      <c r="B2372" s="46"/>
      <c r="C2372" s="46"/>
      <c r="D2372" s="47"/>
      <c r="E2372" s="47"/>
      <c r="F2372" s="48"/>
    </row>
    <row r="2373" spans="1:7">
      <c r="A2373" s="45" t="s">
        <v>3390</v>
      </c>
      <c r="B2373" s="46"/>
      <c r="C2373" s="46"/>
      <c r="D2373" s="47" t="s">
        <v>3334</v>
      </c>
      <c r="E2373" s="47">
        <v>8</v>
      </c>
      <c r="F2373" s="48" t="s">
        <v>3389</v>
      </c>
    </row>
    <row r="2375" spans="1:7">
      <c r="A2375" s="1">
        <v>1</v>
      </c>
    </row>
    <row r="2376" spans="1:7">
      <c r="A2376" s="49" t="s">
        <v>3391</v>
      </c>
      <c r="B2376" s="50"/>
      <c r="C2376" s="50"/>
      <c r="D2376" s="51" t="s">
        <v>3392</v>
      </c>
      <c r="E2376" s="51"/>
      <c r="F2376" s="52"/>
      <c r="G2376" s="51"/>
    </row>
    <row r="2377" spans="1:7">
      <c r="A2377" s="49"/>
      <c r="B2377" s="50"/>
      <c r="C2377" s="50"/>
      <c r="D2377" s="51"/>
      <c r="E2377" s="51"/>
      <c r="F2377" s="52"/>
      <c r="G2377" s="51"/>
    </row>
    <row r="2378" spans="1:7">
      <c r="A2378" s="49" t="s">
        <v>3393</v>
      </c>
      <c r="B2378" s="50"/>
      <c r="C2378" s="50"/>
      <c r="D2378" s="51" t="s">
        <v>3394</v>
      </c>
      <c r="E2378" s="51">
        <v>16</v>
      </c>
      <c r="F2378" s="52"/>
      <c r="G2378" s="51"/>
    </row>
    <row r="2379" spans="1:7">
      <c r="A2379" s="49"/>
      <c r="B2379" s="50"/>
      <c r="C2379" s="50"/>
      <c r="D2379" s="51"/>
      <c r="E2379" s="51"/>
      <c r="F2379" s="52"/>
      <c r="G2379" s="51"/>
    </row>
    <row r="2380" spans="1:7">
      <c r="A2380" s="49" t="s">
        <v>3395</v>
      </c>
      <c r="B2380" s="50"/>
      <c r="C2380" s="50"/>
      <c r="D2380" s="51" t="s">
        <v>3396</v>
      </c>
      <c r="E2380" s="51"/>
      <c r="F2380" s="52"/>
      <c r="G2380" s="51"/>
    </row>
    <row r="2381" spans="1:7">
      <c r="A2381" s="49"/>
      <c r="B2381" s="50"/>
      <c r="C2381" s="50"/>
      <c r="D2381" s="51"/>
      <c r="E2381" s="51"/>
      <c r="F2381" s="52"/>
      <c r="G2381" s="51"/>
    </row>
    <row r="2382" spans="1:7">
      <c r="A2382" s="49" t="s">
        <v>3397</v>
      </c>
      <c r="B2382" s="50"/>
      <c r="C2382" s="50"/>
      <c r="D2382" s="51" t="s">
        <v>3398</v>
      </c>
      <c r="E2382" s="51"/>
      <c r="F2382" s="52"/>
      <c r="G2382" s="51"/>
    </row>
    <row r="2383" spans="1:7">
      <c r="A2383" s="49"/>
      <c r="B2383" s="50"/>
      <c r="C2383" s="50"/>
      <c r="D2383" s="51"/>
      <c r="E2383" s="51"/>
      <c r="F2383" s="52"/>
      <c r="G2383" s="51"/>
    </row>
    <row r="2384" spans="1:7">
      <c r="A2384" s="49" t="s">
        <v>3399</v>
      </c>
      <c r="B2384" s="50"/>
      <c r="C2384" s="50"/>
      <c r="D2384" s="51" t="s">
        <v>3334</v>
      </c>
      <c r="E2384" s="51">
        <v>8</v>
      </c>
      <c r="F2384" s="52" t="s">
        <v>3389</v>
      </c>
      <c r="G2384" s="51"/>
    </row>
    <row r="2385" spans="1:7">
      <c r="A2385" s="49"/>
      <c r="B2385" s="50"/>
      <c r="C2385" s="50"/>
      <c r="D2385" s="51"/>
      <c r="E2385" s="51"/>
      <c r="F2385" s="52"/>
      <c r="G2385" s="51"/>
    </row>
    <row r="2386" spans="1:7">
      <c r="A2386" s="49" t="s">
        <v>3400</v>
      </c>
      <c r="B2386" s="50"/>
      <c r="C2386" s="50"/>
      <c r="D2386" s="51" t="s">
        <v>3401</v>
      </c>
      <c r="E2386" s="51">
        <v>8</v>
      </c>
      <c r="F2386" s="52" t="s">
        <v>3389</v>
      </c>
      <c r="G2386" s="51"/>
    </row>
    <row r="2387" spans="1:7">
      <c r="A2387" s="49"/>
      <c r="B2387" s="50"/>
      <c r="C2387" s="50"/>
      <c r="D2387" s="51"/>
      <c r="E2387" s="51"/>
      <c r="F2387" s="52"/>
      <c r="G2387" s="51"/>
    </row>
    <row r="2388" spans="1:7">
      <c r="B2388" s="1"/>
      <c r="C2388" s="1"/>
      <c r="D2388" s="1"/>
      <c r="E2388" s="1"/>
      <c r="F2388" s="1"/>
      <c r="G2388" s="1"/>
    </row>
    <row r="2389" spans="1:7">
      <c r="A2389" s="1" t="s">
        <v>3402</v>
      </c>
      <c r="B2389" s="1"/>
      <c r="C2389" s="1"/>
      <c r="D2389" s="1" t="s">
        <v>3403</v>
      </c>
      <c r="E2389" s="1" t="s">
        <v>3404</v>
      </c>
      <c r="F2389" s="1"/>
      <c r="G2389" s="1"/>
    </row>
    <row r="2390" spans="1:7">
      <c r="A2390" s="1" t="s">
        <v>3405</v>
      </c>
      <c r="B2390" s="1"/>
      <c r="C2390" s="1"/>
      <c r="D2390" s="1" t="s">
        <v>3406</v>
      </c>
      <c r="E2390" s="1" t="s">
        <v>3404</v>
      </c>
      <c r="F2390" s="1"/>
      <c r="G2390" s="1"/>
    </row>
    <row r="2391" spans="1:7">
      <c r="A2391" s="1" t="s">
        <v>3407</v>
      </c>
      <c r="B2391" s="1"/>
      <c r="C2391" s="1"/>
      <c r="D2391" s="1" t="s">
        <v>3408</v>
      </c>
      <c r="E2391" s="1" t="s">
        <v>3404</v>
      </c>
      <c r="F2391" s="1"/>
      <c r="G2391" s="1"/>
    </row>
    <row r="2392" spans="1:7">
      <c r="B2392" s="1"/>
      <c r="C2392" s="1"/>
      <c r="D2392" s="1"/>
      <c r="E2392" s="1"/>
      <c r="F2392" s="1"/>
      <c r="G2392" s="1"/>
    </row>
    <row r="2393" spans="1:7">
      <c r="B2393" s="1"/>
      <c r="C2393" s="1"/>
      <c r="D2393" s="1"/>
      <c r="E2393" s="1"/>
      <c r="F2393" s="1"/>
      <c r="G2393" s="1"/>
    </row>
    <row r="2394" spans="1:7">
      <c r="A2394" s="1" t="s">
        <v>3409</v>
      </c>
      <c r="D2394" t="s">
        <v>3410</v>
      </c>
      <c r="E2394">
        <v>32</v>
      </c>
      <c r="F2394" s="3" t="s">
        <v>3411</v>
      </c>
    </row>
    <row r="2395" spans="1:7">
      <c r="A2395" s="1" t="s">
        <v>3412</v>
      </c>
      <c r="D2395" t="s">
        <v>3413</v>
      </c>
      <c r="E2395">
        <v>8</v>
      </c>
      <c r="F2395" s="3" t="s">
        <v>621</v>
      </c>
    </row>
    <row r="2397" spans="1:7">
      <c r="A2397" s="1" t="s">
        <v>3414</v>
      </c>
      <c r="D2397" t="s">
        <v>3415</v>
      </c>
    </row>
    <row r="2398" spans="1:7">
      <c r="D2398" t="s">
        <v>3416</v>
      </c>
      <c r="F2398" s="3" t="s">
        <v>3417</v>
      </c>
    </row>
    <row r="2399" spans="1:7">
      <c r="D2399" t="s">
        <v>3418</v>
      </c>
    </row>
    <row r="2402" spans="1:7">
      <c r="A2402" s="1" t="s">
        <v>3419</v>
      </c>
      <c r="D2402" t="s">
        <v>3420</v>
      </c>
      <c r="E2402">
        <v>32</v>
      </c>
    </row>
    <row r="2405" spans="1:7">
      <c r="A2405"/>
      <c r="B2405"/>
      <c r="C2405"/>
    </row>
    <row r="2407" spans="1:7">
      <c r="A2407" s="1" t="s">
        <v>3421</v>
      </c>
      <c r="D2407" t="s">
        <v>3422</v>
      </c>
    </row>
    <row r="2409" spans="1:7">
      <c r="A2409" s="1" t="s">
        <v>3423</v>
      </c>
      <c r="D2409" t="s">
        <v>3424</v>
      </c>
      <c r="F2409" s="3" t="s">
        <v>3425</v>
      </c>
    </row>
    <row r="2411" spans="1:7">
      <c r="A2411" s="1" t="s">
        <v>3426</v>
      </c>
      <c r="D2411" t="s">
        <v>3427</v>
      </c>
    </row>
    <row r="2413" spans="1:7">
      <c r="A2413" s="1" t="s">
        <v>3428</v>
      </c>
      <c r="D2413" t="s">
        <v>3429</v>
      </c>
      <c r="G2413" t="s">
        <v>3430</v>
      </c>
    </row>
    <row r="2415" spans="1:7">
      <c r="A2415" s="1" t="s">
        <v>3431</v>
      </c>
      <c r="D2415" t="s">
        <v>3432</v>
      </c>
      <c r="E2415">
        <v>8</v>
      </c>
      <c r="F2415" s="3">
        <v>6</v>
      </c>
    </row>
    <row r="2416" spans="1:7">
      <c r="A2416" s="1" t="s">
        <v>3433</v>
      </c>
      <c r="D2416" t="s">
        <v>3434</v>
      </c>
      <c r="E2416">
        <v>8</v>
      </c>
      <c r="F2416" s="3">
        <v>0</v>
      </c>
    </row>
    <row r="2417" spans="1:6">
      <c r="A2417" s="1" t="s">
        <v>3435</v>
      </c>
      <c r="D2417" t="s">
        <v>3436</v>
      </c>
      <c r="E2417">
        <v>8</v>
      </c>
      <c r="F2417" s="3">
        <v>7</v>
      </c>
    </row>
    <row r="2418" spans="1:6">
      <c r="A2418" s="1" t="s">
        <v>3437</v>
      </c>
      <c r="D2418" t="s">
        <v>3438</v>
      </c>
      <c r="E2418">
        <v>8</v>
      </c>
      <c r="F2418" s="3">
        <v>6</v>
      </c>
    </row>
    <row r="2419" spans="1:6">
      <c r="A2419" s="1" t="s">
        <v>3439</v>
      </c>
      <c r="D2419" t="s">
        <v>3440</v>
      </c>
      <c r="E2419">
        <v>8</v>
      </c>
      <c r="F2419" s="3">
        <v>7</v>
      </c>
    </row>
    <row r="2420" spans="1:6">
      <c r="A2420" s="1" t="s">
        <v>3441</v>
      </c>
      <c r="D2420" t="s">
        <v>3442</v>
      </c>
      <c r="E2420">
        <v>8</v>
      </c>
      <c r="F2420" s="3" t="s">
        <v>3443</v>
      </c>
    </row>
    <row r="2421" spans="1:6">
      <c r="A2421" s="1" t="s">
        <v>3444</v>
      </c>
      <c r="D2421" t="s">
        <v>3445</v>
      </c>
      <c r="E2421">
        <v>8</v>
      </c>
      <c r="F2421" s="3">
        <v>14</v>
      </c>
    </row>
    <row r="2422" spans="1:6">
      <c r="A2422" s="1" t="s">
        <v>3446</v>
      </c>
      <c r="D2422" t="s">
        <v>3447</v>
      </c>
      <c r="E2422">
        <v>8</v>
      </c>
      <c r="F2422" s="3">
        <v>14</v>
      </c>
    </row>
    <row r="2423" spans="1:6">
      <c r="A2423" s="1" t="s">
        <v>3448</v>
      </c>
      <c r="D2423" t="s">
        <v>3449</v>
      </c>
      <c r="E2423">
        <v>8</v>
      </c>
      <c r="F2423" s="3">
        <v>4</v>
      </c>
    </row>
    <row r="2424" spans="1:6">
      <c r="A2424" s="1" t="s">
        <v>3450</v>
      </c>
      <c r="D2424" t="s">
        <v>3451</v>
      </c>
      <c r="E2424">
        <v>8</v>
      </c>
      <c r="F2424" s="3">
        <v>6</v>
      </c>
    </row>
    <row r="2425" spans="1:6">
      <c r="A2425" s="1" t="s">
        <v>3452</v>
      </c>
      <c r="D2425" t="s">
        <v>3453</v>
      </c>
      <c r="E2425">
        <v>8</v>
      </c>
      <c r="F2425" s="3">
        <v>5</v>
      </c>
    </row>
    <row r="2426" spans="1:6">
      <c r="A2426" s="1" t="s">
        <v>3454</v>
      </c>
      <c r="D2426" t="s">
        <v>3455</v>
      </c>
      <c r="E2426">
        <v>8</v>
      </c>
      <c r="F2426" s="3">
        <v>7</v>
      </c>
    </row>
    <row r="2427" spans="1:6">
      <c r="A2427" s="1" t="s">
        <v>3456</v>
      </c>
      <c r="D2427" t="s">
        <v>3457</v>
      </c>
      <c r="E2427">
        <v>8</v>
      </c>
      <c r="F2427" s="3" t="s">
        <v>3458</v>
      </c>
    </row>
    <row r="2428" spans="1:6">
      <c r="A2428" s="1" t="s">
        <v>3459</v>
      </c>
      <c r="D2428" t="s">
        <v>3460</v>
      </c>
      <c r="E2428">
        <v>8</v>
      </c>
      <c r="F2428" s="3" t="s">
        <v>3443</v>
      </c>
    </row>
    <row r="2429" spans="1:6">
      <c r="A2429" s="1" t="s">
        <v>3461</v>
      </c>
      <c r="D2429" t="s">
        <v>3462</v>
      </c>
      <c r="E2429">
        <v>8</v>
      </c>
      <c r="F2429" s="3" t="s">
        <v>3463</v>
      </c>
    </row>
    <row r="2430" spans="1:6">
      <c r="A2430" s="1" t="s">
        <v>3464</v>
      </c>
      <c r="D2430" t="s">
        <v>3465</v>
      </c>
      <c r="E2430">
        <v>8</v>
      </c>
      <c r="F2430" s="3" t="s">
        <v>3466</v>
      </c>
    </row>
    <row r="2432" spans="1:6">
      <c r="A2432" s="1" t="s">
        <v>3467</v>
      </c>
      <c r="D2432" t="s">
        <v>3468</v>
      </c>
    </row>
    <row r="2435" spans="1:10">
      <c r="A2435" s="1" t="s">
        <v>3469</v>
      </c>
      <c r="D2435" t="s">
        <v>3470</v>
      </c>
      <c r="E2435">
        <v>8</v>
      </c>
      <c r="F2435" s="3">
        <v>5</v>
      </c>
    </row>
    <row r="2437" spans="1:10">
      <c r="A2437" s="1" t="s">
        <v>3471</v>
      </c>
      <c r="D2437" t="s">
        <v>510</v>
      </c>
      <c r="E2437">
        <v>8</v>
      </c>
    </row>
    <row r="2438" spans="1:10">
      <c r="A2438" s="1" t="s">
        <v>3472</v>
      </c>
      <c r="D2438" t="s">
        <v>513</v>
      </c>
      <c r="E2438">
        <v>8</v>
      </c>
    </row>
    <row r="2439" spans="1:10">
      <c r="A2439" s="1" t="s">
        <v>3473</v>
      </c>
      <c r="D2439" t="s">
        <v>515</v>
      </c>
      <c r="E2439">
        <v>8</v>
      </c>
    </row>
    <row r="2440" spans="1:10">
      <c r="A2440" s="1" t="s">
        <v>3474</v>
      </c>
      <c r="D2440" t="s">
        <v>517</v>
      </c>
      <c r="E2440">
        <v>8</v>
      </c>
    </row>
    <row r="2441" spans="1:10">
      <c r="A2441" s="1" t="s">
        <v>3475</v>
      </c>
      <c r="D2441" t="s">
        <v>519</v>
      </c>
      <c r="E2441">
        <v>8</v>
      </c>
    </row>
    <row r="2443" spans="1:10">
      <c r="A2443" s="1" t="s">
        <v>3476</v>
      </c>
      <c r="D2443" s="4" t="s">
        <v>3477</v>
      </c>
      <c r="E2443">
        <v>8</v>
      </c>
      <c r="F2443" s="5" t="s">
        <v>3478</v>
      </c>
      <c r="G2443" t="s">
        <v>3479</v>
      </c>
      <c r="J2443" t="s">
        <v>3480</v>
      </c>
    </row>
    <row r="2444" spans="1:10">
      <c r="A2444" s="1" t="s">
        <v>3481</v>
      </c>
      <c r="D2444" s="4" t="s">
        <v>3482</v>
      </c>
      <c r="E2444">
        <v>8</v>
      </c>
      <c r="F2444" s="5" t="s">
        <v>3483</v>
      </c>
      <c r="J2444" t="s">
        <v>3484</v>
      </c>
    </row>
    <row r="2445" spans="1:10">
      <c r="A2445" s="1" t="s">
        <v>3485</v>
      </c>
      <c r="D2445" s="4" t="s">
        <v>3486</v>
      </c>
      <c r="E2445">
        <v>8</v>
      </c>
      <c r="F2445" s="5" t="s">
        <v>3487</v>
      </c>
      <c r="J2445">
        <v>2</v>
      </c>
    </row>
    <row r="2446" spans="1:10">
      <c r="A2446" s="1" t="s">
        <v>3488</v>
      </c>
      <c r="D2446" s="4" t="s">
        <v>3489</v>
      </c>
      <c r="E2446">
        <v>8</v>
      </c>
      <c r="F2446" s="5" t="s">
        <v>3490</v>
      </c>
      <c r="J2446">
        <v>3</v>
      </c>
    </row>
    <row r="2447" spans="1:10">
      <c r="A2447" s="1" t="s">
        <v>3491</v>
      </c>
      <c r="D2447" s="4" t="s">
        <v>3492</v>
      </c>
      <c r="E2447">
        <v>8</v>
      </c>
      <c r="F2447" s="5" t="s">
        <v>3493</v>
      </c>
      <c r="J2447">
        <v>4</v>
      </c>
    </row>
    <row r="2448" spans="1:10">
      <c r="A2448" s="1" t="s">
        <v>3494</v>
      </c>
      <c r="D2448" s="4" t="s">
        <v>3495</v>
      </c>
      <c r="E2448">
        <v>8</v>
      </c>
      <c r="F2448" s="5" t="s">
        <v>3496</v>
      </c>
      <c r="J2448">
        <v>5</v>
      </c>
    </row>
    <row r="2449" spans="1:10">
      <c r="A2449" s="1" t="s">
        <v>3497</v>
      </c>
      <c r="D2449" s="4" t="s">
        <v>3498</v>
      </c>
      <c r="E2449">
        <v>8</v>
      </c>
      <c r="F2449" s="5" t="s">
        <v>3499</v>
      </c>
      <c r="J2449">
        <v>6</v>
      </c>
    </row>
    <row r="2450" spans="1:10">
      <c r="A2450" s="1" t="s">
        <v>3500</v>
      </c>
      <c r="D2450" s="4" t="s">
        <v>3501</v>
      </c>
      <c r="E2450">
        <v>8</v>
      </c>
      <c r="F2450" s="5" t="s">
        <v>3502</v>
      </c>
      <c r="J2450">
        <v>7</v>
      </c>
    </row>
    <row r="2451" spans="1:10">
      <c r="A2451" s="1" t="s">
        <v>3503</v>
      </c>
      <c r="D2451" s="4" t="s">
        <v>3504</v>
      </c>
      <c r="E2451">
        <v>8</v>
      </c>
      <c r="F2451" s="5" t="s">
        <v>3505</v>
      </c>
      <c r="J2451">
        <v>8</v>
      </c>
    </row>
    <row r="2452" spans="1:10">
      <c r="A2452" s="1" t="s">
        <v>3506</v>
      </c>
      <c r="D2452" s="4" t="s">
        <v>3507</v>
      </c>
      <c r="E2452">
        <v>8</v>
      </c>
      <c r="F2452" s="5" t="s">
        <v>3508</v>
      </c>
      <c r="J2452">
        <v>9</v>
      </c>
    </row>
    <row r="2453" spans="1:10">
      <c r="A2453" s="1" t="s">
        <v>3509</v>
      </c>
      <c r="D2453" s="4" t="s">
        <v>3510</v>
      </c>
      <c r="E2453">
        <v>8</v>
      </c>
      <c r="F2453" s="5" t="s">
        <v>3511</v>
      </c>
      <c r="J2453" t="s">
        <v>3512</v>
      </c>
    </row>
    <row r="2454" spans="1:10">
      <c r="A2454" s="1" t="s">
        <v>3513</v>
      </c>
      <c r="D2454" s="4" t="s">
        <v>3514</v>
      </c>
      <c r="E2454">
        <v>8</v>
      </c>
      <c r="F2454" s="5" t="s">
        <v>3515</v>
      </c>
      <c r="J2454" t="s">
        <v>3458</v>
      </c>
    </row>
    <row r="2455" spans="1:10">
      <c r="A2455" s="1" t="s">
        <v>3516</v>
      </c>
      <c r="D2455" s="4" t="s">
        <v>3517</v>
      </c>
      <c r="E2455">
        <v>8</v>
      </c>
      <c r="F2455" s="5" t="s">
        <v>3518</v>
      </c>
      <c r="J2455" t="s">
        <v>3463</v>
      </c>
    </row>
    <row r="2456" spans="1:10">
      <c r="A2456" s="1" t="s">
        <v>3519</v>
      </c>
      <c r="D2456" s="4" t="s">
        <v>3520</v>
      </c>
      <c r="E2456">
        <v>8</v>
      </c>
      <c r="F2456" s="5" t="s">
        <v>3521</v>
      </c>
      <c r="J2456" t="s">
        <v>3443</v>
      </c>
    </row>
    <row r="2458" spans="1:10">
      <c r="A2458" s="1" t="s">
        <v>3522</v>
      </c>
      <c r="D2458" t="s">
        <v>3523</v>
      </c>
      <c r="E2458">
        <v>8</v>
      </c>
      <c r="F2458" s="3">
        <v>4</v>
      </c>
      <c r="G2458" t="s">
        <v>3524</v>
      </c>
      <c r="J2458" t="s">
        <v>3525</v>
      </c>
    </row>
    <row r="2459" spans="1:10">
      <c r="A2459" s="1" t="s">
        <v>3526</v>
      </c>
      <c r="D2459" t="s">
        <v>3527</v>
      </c>
      <c r="E2459">
        <v>8</v>
      </c>
      <c r="F2459" s="3">
        <v>5</v>
      </c>
      <c r="J2459" t="s">
        <v>3528</v>
      </c>
    </row>
    <row r="2460" spans="1:10">
      <c r="A2460" s="1" t="s">
        <v>3529</v>
      </c>
      <c r="D2460" s="53" t="s">
        <v>3486</v>
      </c>
      <c r="E2460">
        <v>8</v>
      </c>
      <c r="F2460" s="3">
        <v>4</v>
      </c>
      <c r="J2460" t="s">
        <v>3525</v>
      </c>
    </row>
    <row r="2461" spans="1:10">
      <c r="A2461" s="1" t="s">
        <v>3530</v>
      </c>
      <c r="D2461" s="53" t="s">
        <v>3489</v>
      </c>
      <c r="E2461">
        <v>8</v>
      </c>
      <c r="F2461" s="3">
        <v>5</v>
      </c>
      <c r="J2461" t="s">
        <v>3528</v>
      </c>
    </row>
    <row r="2462" spans="1:10">
      <c r="A2462" s="1" t="s">
        <v>3531</v>
      </c>
      <c r="D2462" s="53" t="s">
        <v>3492</v>
      </c>
      <c r="E2462">
        <v>8</v>
      </c>
      <c r="F2462" s="3" t="s">
        <v>3443</v>
      </c>
      <c r="J2462" t="s">
        <v>3532</v>
      </c>
    </row>
    <row r="2463" spans="1:10">
      <c r="A2463" s="1" t="s">
        <v>3533</v>
      </c>
      <c r="D2463" s="53" t="s">
        <v>3495</v>
      </c>
      <c r="E2463">
        <v>8</v>
      </c>
      <c r="F2463" s="3" t="s">
        <v>3466</v>
      </c>
      <c r="J2463" t="s">
        <v>3534</v>
      </c>
    </row>
    <row r="2464" spans="1:10">
      <c r="A2464" s="1" t="s">
        <v>3535</v>
      </c>
      <c r="D2464" s="53" t="s">
        <v>3498</v>
      </c>
      <c r="E2464">
        <v>8</v>
      </c>
      <c r="F2464" s="3" t="s">
        <v>3536</v>
      </c>
      <c r="J2464" t="s">
        <v>3534</v>
      </c>
    </row>
    <row r="2465" spans="1:10">
      <c r="A2465" s="1" t="s">
        <v>3537</v>
      </c>
      <c r="D2465" s="53" t="s">
        <v>3501</v>
      </c>
      <c r="E2465">
        <v>8</v>
      </c>
      <c r="F2465" s="3">
        <v>7</v>
      </c>
      <c r="J2465" t="s">
        <v>3525</v>
      </c>
    </row>
    <row r="2466" spans="1:10">
      <c r="A2466" s="1" t="s">
        <v>3538</v>
      </c>
      <c r="D2466" s="53" t="s">
        <v>3504</v>
      </c>
      <c r="E2466">
        <v>8</v>
      </c>
      <c r="F2466" s="3">
        <v>9</v>
      </c>
      <c r="J2466" t="s">
        <v>3528</v>
      </c>
    </row>
    <row r="2467" spans="1:10">
      <c r="A2467" s="1" t="s">
        <v>3539</v>
      </c>
      <c r="D2467" s="53" t="s">
        <v>3507</v>
      </c>
      <c r="E2467">
        <v>8</v>
      </c>
      <c r="F2467" s="3" t="s">
        <v>3463</v>
      </c>
      <c r="J2467" t="s">
        <v>3540</v>
      </c>
    </row>
    <row r="2468" spans="1:10">
      <c r="A2468" s="1" t="s">
        <v>3541</v>
      </c>
      <c r="D2468" s="53" t="s">
        <v>3510</v>
      </c>
      <c r="E2468">
        <v>8</v>
      </c>
      <c r="F2468" s="3" t="s">
        <v>3512</v>
      </c>
      <c r="J2468" t="s">
        <v>3525</v>
      </c>
    </row>
    <row r="2469" spans="1:10">
      <c r="A2469" s="1" t="s">
        <v>3542</v>
      </c>
      <c r="D2469" s="53" t="s">
        <v>3514</v>
      </c>
      <c r="E2469">
        <v>8</v>
      </c>
      <c r="F2469" s="3" t="s">
        <v>3458</v>
      </c>
      <c r="J2469" t="s">
        <v>3528</v>
      </c>
    </row>
    <row r="2470" spans="1:10">
      <c r="A2470" s="1" t="s">
        <v>3543</v>
      </c>
      <c r="D2470" s="53" t="s">
        <v>3517</v>
      </c>
      <c r="E2470">
        <v>8</v>
      </c>
      <c r="F2470" s="3">
        <v>6</v>
      </c>
      <c r="J2470" t="s">
        <v>3544</v>
      </c>
    </row>
    <row r="2471" spans="1:10">
      <c r="A2471" s="1" t="s">
        <v>3545</v>
      </c>
      <c r="D2471" s="53" t="s">
        <v>3520</v>
      </c>
      <c r="E2471">
        <v>8</v>
      </c>
      <c r="F2471" s="3">
        <v>8</v>
      </c>
      <c r="J2471" t="s">
        <v>3546</v>
      </c>
    </row>
    <row r="2472" spans="1:10">
      <c r="A2472" s="1" t="s">
        <v>3547</v>
      </c>
      <c r="E2472">
        <v>8</v>
      </c>
      <c r="F2472" s="3">
        <v>4</v>
      </c>
      <c r="J2472" t="s">
        <v>3525</v>
      </c>
    </row>
    <row r="2473" spans="1:10">
      <c r="A2473" s="1" t="s">
        <v>3548</v>
      </c>
      <c r="E2473">
        <v>8</v>
      </c>
      <c r="F2473" s="3">
        <v>0</v>
      </c>
    </row>
    <row r="2475" spans="1:10">
      <c r="A2475" s="1" t="s">
        <v>3549</v>
      </c>
      <c r="D2475" t="s">
        <v>287</v>
      </c>
      <c r="E2475">
        <v>8</v>
      </c>
      <c r="F2475" s="5">
        <v>10</v>
      </c>
    </row>
    <row r="2476" spans="1:10">
      <c r="A2476" s="1" t="s">
        <v>3550</v>
      </c>
      <c r="E2476">
        <v>8</v>
      </c>
      <c r="F2476" s="5" t="s">
        <v>3551</v>
      </c>
    </row>
    <row r="2477" spans="1:10">
      <c r="A2477" s="1" t="s">
        <v>3552</v>
      </c>
      <c r="E2477">
        <v>8</v>
      </c>
      <c r="F2477" s="5" t="s">
        <v>3553</v>
      </c>
    </row>
    <row r="2478" spans="1:10">
      <c r="A2478" s="1" t="s">
        <v>3554</v>
      </c>
      <c r="E2478">
        <v>8</v>
      </c>
      <c r="F2478" s="5" t="s">
        <v>3502</v>
      </c>
    </row>
    <row r="2479" spans="1:10">
      <c r="A2479" s="1" t="s">
        <v>3555</v>
      </c>
      <c r="E2479">
        <v>8</v>
      </c>
      <c r="F2479" s="5" t="s">
        <v>3478</v>
      </c>
    </row>
    <row r="2480" spans="1:10">
      <c r="A2480" s="1" t="s">
        <v>3556</v>
      </c>
      <c r="E2480">
        <v>8</v>
      </c>
      <c r="F2480" s="5" t="s">
        <v>3490</v>
      </c>
    </row>
    <row r="2481" spans="1:6">
      <c r="A2481" s="1" t="s">
        <v>3557</v>
      </c>
      <c r="D2481" t="s">
        <v>3558</v>
      </c>
      <c r="E2481">
        <v>8</v>
      </c>
      <c r="F2481" s="5" t="s">
        <v>3487</v>
      </c>
    </row>
    <row r="2482" spans="1:6">
      <c r="A2482" s="1" t="s">
        <v>3559</v>
      </c>
      <c r="E2482">
        <v>8</v>
      </c>
      <c r="F2482" s="5" t="s">
        <v>3483</v>
      </c>
    </row>
    <row r="2483" spans="1:6">
      <c r="A2483" s="1" t="s">
        <v>3560</v>
      </c>
      <c r="E2483">
        <v>8</v>
      </c>
      <c r="F2483" s="5" t="s">
        <v>3561</v>
      </c>
    </row>
    <row r="2484" spans="1:6">
      <c r="A2484" s="1" t="s">
        <v>3562</v>
      </c>
      <c r="E2484">
        <v>8</v>
      </c>
      <c r="F2484" s="5" t="s">
        <v>3561</v>
      </c>
    </row>
    <row r="2485" spans="1:6">
      <c r="A2485" s="1" t="s">
        <v>3563</v>
      </c>
      <c r="E2485">
        <v>8</v>
      </c>
      <c r="F2485" s="5" t="s">
        <v>3561</v>
      </c>
    </row>
    <row r="2486" spans="1:6">
      <c r="A2486" s="1" t="s">
        <v>3564</v>
      </c>
      <c r="E2486">
        <v>8</v>
      </c>
      <c r="F2486" s="5" t="s">
        <v>3561</v>
      </c>
    </row>
    <row r="2488" spans="1:6">
      <c r="A2488" s="1" t="s">
        <v>3565</v>
      </c>
      <c r="D2488" t="s">
        <v>3566</v>
      </c>
      <c r="E2488">
        <v>8</v>
      </c>
      <c r="F2488" s="3">
        <v>0</v>
      </c>
    </row>
    <row r="2489" spans="1:6">
      <c r="A2489" s="1" t="s">
        <v>3567</v>
      </c>
      <c r="F2489" s="3">
        <v>0</v>
      </c>
    </row>
    <row r="2490" spans="1:6">
      <c r="A2490" s="1" t="s">
        <v>3568</v>
      </c>
      <c r="D2490" t="s">
        <v>3569</v>
      </c>
      <c r="E2490">
        <v>8</v>
      </c>
      <c r="F2490" s="3">
        <v>6</v>
      </c>
    </row>
    <row r="2491" spans="1:6">
      <c r="A2491" s="1" t="s">
        <v>3570</v>
      </c>
      <c r="D2491" t="s">
        <v>3571</v>
      </c>
      <c r="E2491">
        <v>8</v>
      </c>
      <c r="F2491" s="3">
        <v>0</v>
      </c>
    </row>
    <row r="2492" spans="1:6">
      <c r="A2492" s="1" t="s">
        <v>3572</v>
      </c>
      <c r="D2492" t="s">
        <v>3573</v>
      </c>
      <c r="E2492">
        <v>8</v>
      </c>
      <c r="F2492" s="3">
        <v>7</v>
      </c>
    </row>
    <row r="2493" spans="1:6">
      <c r="A2493" s="1" t="s">
        <v>3574</v>
      </c>
      <c r="D2493" t="s">
        <v>3575</v>
      </c>
      <c r="E2493">
        <v>8</v>
      </c>
      <c r="F2493" s="3">
        <v>6</v>
      </c>
    </row>
    <row r="2494" spans="1:6">
      <c r="A2494" s="1" t="s">
        <v>3576</v>
      </c>
      <c r="D2494" t="s">
        <v>3577</v>
      </c>
      <c r="F2494" s="3">
        <v>7</v>
      </c>
    </row>
    <row r="2495" spans="1:6">
      <c r="A2495" s="1" t="s">
        <v>3578</v>
      </c>
      <c r="D2495" t="s">
        <v>3579</v>
      </c>
      <c r="F2495" s="3" t="s">
        <v>3443</v>
      </c>
    </row>
    <row r="2496" spans="1:6">
      <c r="A2496" s="1" t="s">
        <v>3580</v>
      </c>
      <c r="D2496" t="s">
        <v>3581</v>
      </c>
      <c r="E2496">
        <v>8</v>
      </c>
      <c r="F2496" s="3" t="s">
        <v>3466</v>
      </c>
    </row>
    <row r="2497" spans="1:6">
      <c r="A2497" s="1" t="s">
        <v>3582</v>
      </c>
      <c r="D2497" t="s">
        <v>3583</v>
      </c>
      <c r="E2497">
        <v>8</v>
      </c>
      <c r="F2497" s="3">
        <v>6</v>
      </c>
    </row>
    <row r="2498" spans="1:6">
      <c r="A2498" s="1" t="s">
        <v>3584</v>
      </c>
      <c r="D2498" t="s">
        <v>3585</v>
      </c>
      <c r="E2498">
        <v>8</v>
      </c>
      <c r="F2498" s="3">
        <v>14</v>
      </c>
    </row>
    <row r="2499" spans="1:6">
      <c r="A2499" s="1" t="s">
        <v>3586</v>
      </c>
      <c r="D2499" t="s">
        <v>3587</v>
      </c>
      <c r="E2499">
        <v>8</v>
      </c>
      <c r="F2499" s="3">
        <v>14</v>
      </c>
    </row>
    <row r="2500" spans="1:6">
      <c r="A2500" s="1" t="s">
        <v>3588</v>
      </c>
      <c r="D2500" t="s">
        <v>287</v>
      </c>
      <c r="E2500">
        <v>8</v>
      </c>
      <c r="F2500" s="3">
        <v>28</v>
      </c>
    </row>
    <row r="2501" spans="1:6">
      <c r="E2501">
        <v>8</v>
      </c>
    </row>
    <row r="2502" spans="1:6">
      <c r="A2502" s="1" t="s">
        <v>3589</v>
      </c>
      <c r="D2502" t="s">
        <v>3590</v>
      </c>
      <c r="E2502">
        <v>8</v>
      </c>
    </row>
    <row r="2503" spans="1:6">
      <c r="E2503">
        <v>8</v>
      </c>
    </row>
    <row r="2504" spans="1:6">
      <c r="D2504" t="s">
        <v>3591</v>
      </c>
      <c r="E2504">
        <v>8</v>
      </c>
    </row>
    <row r="2505" spans="1:6">
      <c r="E2505">
        <v>8</v>
      </c>
    </row>
    <row r="2506" spans="1:6">
      <c r="D2506" t="s">
        <v>3592</v>
      </c>
      <c r="E2506">
        <v>8</v>
      </c>
    </row>
    <row r="2518" spans="1:8">
      <c r="G2518" t="s">
        <v>3593</v>
      </c>
    </row>
    <row r="2519" spans="1:8">
      <c r="A2519" s="1" t="s">
        <v>3594</v>
      </c>
      <c r="D2519" t="s">
        <v>3595</v>
      </c>
      <c r="E2519">
        <v>8</v>
      </c>
      <c r="F2519" s="3" t="s">
        <v>3596</v>
      </c>
      <c r="G2519" t="s">
        <v>3597</v>
      </c>
      <c r="H2519" t="s">
        <v>3598</v>
      </c>
    </row>
    <row r="2520" spans="1:8">
      <c r="A2520" s="1" t="s">
        <v>3599</v>
      </c>
      <c r="D2520" t="s">
        <v>3600</v>
      </c>
      <c r="E2520">
        <v>8</v>
      </c>
      <c r="F2520" s="3" t="s">
        <v>3601</v>
      </c>
      <c r="G2520" t="s">
        <v>3602</v>
      </c>
    </row>
    <row r="2521" spans="1:8">
      <c r="A2521" s="1" t="s">
        <v>3603</v>
      </c>
      <c r="D2521" t="s">
        <v>3604</v>
      </c>
      <c r="E2521">
        <v>8</v>
      </c>
      <c r="F2521" s="3" t="s">
        <v>3605</v>
      </c>
      <c r="G2521" t="s">
        <v>3606</v>
      </c>
    </row>
    <row r="2522" spans="1:8">
      <c r="A2522" s="1" t="s">
        <v>3607</v>
      </c>
      <c r="D2522" t="s">
        <v>3608</v>
      </c>
      <c r="E2522">
        <v>8</v>
      </c>
      <c r="F2522" s="3" t="s">
        <v>3609</v>
      </c>
      <c r="G2522" t="s">
        <v>3610</v>
      </c>
    </row>
    <row r="2523" spans="1:8">
      <c r="A2523" s="1" t="s">
        <v>3611</v>
      </c>
      <c r="D2523" t="s">
        <v>3612</v>
      </c>
      <c r="E2523">
        <v>8</v>
      </c>
      <c r="F2523" s="3" t="s">
        <v>3613</v>
      </c>
    </row>
    <row r="2525" spans="1:8">
      <c r="A2525" s="1" t="s">
        <v>3614</v>
      </c>
      <c r="D2525" t="s">
        <v>3615</v>
      </c>
      <c r="E2525">
        <v>16</v>
      </c>
      <c r="F2525" s="3" t="s">
        <v>3616</v>
      </c>
    </row>
    <row r="2526" spans="1:8">
      <c r="D2526" t="s">
        <v>3617</v>
      </c>
    </row>
    <row r="2528" spans="1:8">
      <c r="A2528" s="1" t="s">
        <v>3618</v>
      </c>
      <c r="D2528" t="s">
        <v>3619</v>
      </c>
      <c r="E2528">
        <v>8</v>
      </c>
      <c r="F2528" s="3" t="s">
        <v>3620</v>
      </c>
    </row>
    <row r="2530" spans="1:6">
      <c r="A2530" s="1" t="s">
        <v>8053</v>
      </c>
      <c r="D2530" t="s">
        <v>8062</v>
      </c>
    </row>
    <row r="2531" spans="1:6">
      <c r="D2531" t="s">
        <v>8054</v>
      </c>
    </row>
    <row r="2532" spans="1:6">
      <c r="D2532" t="s">
        <v>8055</v>
      </c>
    </row>
    <row r="2533" spans="1:6">
      <c r="D2533" t="s">
        <v>8056</v>
      </c>
    </row>
    <row r="2534" spans="1:6">
      <c r="D2534" t="s">
        <v>8057</v>
      </c>
    </row>
    <row r="2535" spans="1:6">
      <c r="D2535" t="s">
        <v>8058</v>
      </c>
    </row>
    <row r="2537" spans="1:6">
      <c r="D2537" t="s">
        <v>8060</v>
      </c>
    </row>
    <row r="2538" spans="1:6">
      <c r="D2538" t="s">
        <v>8061</v>
      </c>
    </row>
    <row r="2539" spans="1:6">
      <c r="D2539" t="s">
        <v>8059</v>
      </c>
    </row>
    <row r="2540" spans="1:6">
      <c r="A2540" s="1" t="s">
        <v>3621</v>
      </c>
      <c r="D2540" t="s">
        <v>3622</v>
      </c>
      <c r="F2540" s="3" t="s">
        <v>3623</v>
      </c>
    </row>
    <row r="2541" spans="1:6">
      <c r="A2541" s="1" t="s">
        <v>3624</v>
      </c>
      <c r="D2541" t="s">
        <v>3625</v>
      </c>
      <c r="F2541" s="3" t="s">
        <v>3623</v>
      </c>
    </row>
    <row r="2542" spans="1:6">
      <c r="A2542" s="1" t="s">
        <v>3626</v>
      </c>
      <c r="D2542" t="s">
        <v>3627</v>
      </c>
      <c r="F2542" s="3" t="s">
        <v>3623</v>
      </c>
    </row>
    <row r="2543" spans="1:6">
      <c r="A2543" s="1" t="s">
        <v>3628</v>
      </c>
      <c r="D2543" t="s">
        <v>3629</v>
      </c>
      <c r="F2543" s="3" t="s">
        <v>3623</v>
      </c>
    </row>
    <row r="2544" spans="1:6">
      <c r="A2544" s="1" t="s">
        <v>3630</v>
      </c>
      <c r="D2544" t="s">
        <v>3631</v>
      </c>
      <c r="F2544" s="3" t="s">
        <v>3623</v>
      </c>
    </row>
    <row r="2546" spans="1:8">
      <c r="A2546" s="1" t="s">
        <v>3632</v>
      </c>
      <c r="D2546" t="s">
        <v>3633</v>
      </c>
      <c r="E2546">
        <v>8</v>
      </c>
      <c r="F2546" s="3">
        <v>5</v>
      </c>
      <c r="H2546" t="s">
        <v>3634</v>
      </c>
    </row>
    <row r="2548" spans="1:8">
      <c r="A2548" s="1" t="s">
        <v>3635</v>
      </c>
      <c r="D2548" t="s">
        <v>3636</v>
      </c>
    </row>
    <row r="2551" spans="1:8">
      <c r="A2551" s="1" t="s">
        <v>3637</v>
      </c>
      <c r="D2551" t="s">
        <v>3638</v>
      </c>
      <c r="E2551">
        <v>8</v>
      </c>
      <c r="F2551" s="3" t="s">
        <v>621</v>
      </c>
    </row>
    <row r="2553" spans="1:8">
      <c r="A2553" s="1" t="s">
        <v>3639</v>
      </c>
      <c r="D2553" t="s">
        <v>2685</v>
      </c>
      <c r="E2553">
        <v>32</v>
      </c>
      <c r="F2553" s="3" t="s">
        <v>3640</v>
      </c>
    </row>
    <row r="2555" spans="1:8">
      <c r="A2555" s="1" t="s">
        <v>3641</v>
      </c>
      <c r="D2555" t="s">
        <v>3642</v>
      </c>
      <c r="E2555">
        <v>32</v>
      </c>
      <c r="F2555" s="3" t="s">
        <v>3643</v>
      </c>
    </row>
    <row r="2557" spans="1:8">
      <c r="A2557" s="1" t="s">
        <v>3644</v>
      </c>
      <c r="D2557" t="s">
        <v>3645</v>
      </c>
      <c r="E2557">
        <v>16</v>
      </c>
    </row>
    <row r="2558" spans="1:8">
      <c r="A2558" s="1" t="s">
        <v>3646</v>
      </c>
      <c r="D2558" t="s">
        <v>3647</v>
      </c>
      <c r="E2558">
        <v>16</v>
      </c>
    </row>
    <row r="2560" spans="1:8">
      <c r="A2560" s="1" t="s">
        <v>3648</v>
      </c>
      <c r="D2560" t="s">
        <v>3649</v>
      </c>
      <c r="E2560">
        <v>8</v>
      </c>
    </row>
    <row r="2562" spans="1:7">
      <c r="A2562" s="1" t="s">
        <v>3650</v>
      </c>
      <c r="D2562" t="s">
        <v>3651</v>
      </c>
    </row>
    <row r="2565" spans="1:7">
      <c r="A2565" s="1">
        <v>175791</v>
      </c>
      <c r="D2565" t="s">
        <v>3652</v>
      </c>
      <c r="E2565">
        <v>8</v>
      </c>
      <c r="F2565" s="3" t="s">
        <v>3653</v>
      </c>
    </row>
    <row r="2567" spans="1:7">
      <c r="A2567" s="1">
        <v>175798</v>
      </c>
      <c r="D2567" t="s">
        <v>3654</v>
      </c>
      <c r="G2567" t="s">
        <v>3655</v>
      </c>
    </row>
    <row r="2569" spans="1:7">
      <c r="A2569" s="1" t="s">
        <v>3656</v>
      </c>
      <c r="D2569" t="s">
        <v>3657</v>
      </c>
      <c r="E2569">
        <v>16</v>
      </c>
      <c r="F2569" s="3" t="s">
        <v>3658</v>
      </c>
    </row>
    <row r="2570" spans="1:7">
      <c r="A2570" s="1" t="s">
        <v>3659</v>
      </c>
      <c r="D2570" t="s">
        <v>3660</v>
      </c>
      <c r="E2570">
        <v>16</v>
      </c>
    </row>
    <row r="2571" spans="1:7">
      <c r="A2571" s="1" t="s">
        <v>3661</v>
      </c>
      <c r="D2571" t="s">
        <v>3660</v>
      </c>
      <c r="E2571">
        <v>16</v>
      </c>
    </row>
    <row r="2572" spans="1:7">
      <c r="A2572" s="1" t="s">
        <v>3662</v>
      </c>
      <c r="D2572" t="s">
        <v>3660</v>
      </c>
      <c r="E2572">
        <v>16</v>
      </c>
    </row>
    <row r="2573" spans="1:7">
      <c r="A2573" s="1" t="s">
        <v>3663</v>
      </c>
      <c r="D2573" t="s">
        <v>3660</v>
      </c>
      <c r="E2573">
        <v>16</v>
      </c>
    </row>
    <row r="2574" spans="1:7">
      <c r="A2574" s="1" t="s">
        <v>3664</v>
      </c>
      <c r="D2574" t="s">
        <v>3660</v>
      </c>
      <c r="E2574">
        <v>16</v>
      </c>
    </row>
    <row r="2575" spans="1:7">
      <c r="A2575" s="1" t="s">
        <v>3665</v>
      </c>
      <c r="D2575" t="s">
        <v>3660</v>
      </c>
      <c r="E2575">
        <v>16</v>
      </c>
    </row>
    <row r="2576" spans="1:7">
      <c r="A2576" s="1" t="s">
        <v>3666</v>
      </c>
      <c r="D2576" t="s">
        <v>3660</v>
      </c>
      <c r="E2576">
        <v>16</v>
      </c>
    </row>
    <row r="2577" spans="1:6">
      <c r="A2577" s="1" t="s">
        <v>3667</v>
      </c>
      <c r="D2577" t="s">
        <v>3660</v>
      </c>
      <c r="E2577">
        <v>16</v>
      </c>
    </row>
    <row r="2578" spans="1:6">
      <c r="A2578" s="1" t="s">
        <v>3668</v>
      </c>
      <c r="D2578" t="s">
        <v>3660</v>
      </c>
      <c r="E2578">
        <v>16</v>
      </c>
      <c r="F2578" s="3" t="s">
        <v>3669</v>
      </c>
    </row>
    <row r="2579" spans="1:6">
      <c r="A2579" s="1" t="s">
        <v>3670</v>
      </c>
      <c r="D2579" t="s">
        <v>3660</v>
      </c>
      <c r="E2579">
        <v>16</v>
      </c>
    </row>
    <row r="2580" spans="1:6">
      <c r="A2580" s="1" t="s">
        <v>3671</v>
      </c>
      <c r="D2580" t="s">
        <v>3660</v>
      </c>
      <c r="E2580">
        <v>16</v>
      </c>
    </row>
    <row r="2581" spans="1:6">
      <c r="A2581" s="1" t="s">
        <v>3672</v>
      </c>
      <c r="D2581" t="s">
        <v>3660</v>
      </c>
      <c r="E2581">
        <v>16</v>
      </c>
    </row>
    <row r="2582" spans="1:6">
      <c r="A2582" s="1" t="s">
        <v>3673</v>
      </c>
      <c r="D2582" t="s">
        <v>3660</v>
      </c>
      <c r="E2582">
        <v>16</v>
      </c>
    </row>
    <row r="2583" spans="1:6">
      <c r="A2583" s="1" t="s">
        <v>3674</v>
      </c>
      <c r="D2583" t="s">
        <v>3660</v>
      </c>
      <c r="E2583">
        <v>16</v>
      </c>
    </row>
    <row r="2584" spans="1:6">
      <c r="A2584" s="1" t="s">
        <v>3675</v>
      </c>
      <c r="D2584" t="s">
        <v>3660</v>
      </c>
      <c r="E2584">
        <v>16</v>
      </c>
    </row>
    <row r="2585" spans="1:6">
      <c r="A2585" s="1" t="s">
        <v>3676</v>
      </c>
      <c r="D2585" t="s">
        <v>3677</v>
      </c>
      <c r="E2585">
        <v>16</v>
      </c>
    </row>
    <row r="2587" spans="1:6">
      <c r="A2587" s="1" t="s">
        <v>3678</v>
      </c>
      <c r="D2587" t="s">
        <v>3679</v>
      </c>
      <c r="E2587">
        <v>16</v>
      </c>
    </row>
    <row r="2589" spans="1:6">
      <c r="A2589" s="1">
        <v>175816</v>
      </c>
      <c r="D2589" t="s">
        <v>3680</v>
      </c>
      <c r="E2589">
        <v>16</v>
      </c>
    </row>
    <row r="2591" spans="1:6" ht="45">
      <c r="A2591" s="1">
        <v>175848</v>
      </c>
      <c r="D2591" s="18" t="s">
        <v>3681</v>
      </c>
      <c r="E2591">
        <v>16</v>
      </c>
      <c r="F2591" s="3" t="s">
        <v>3682</v>
      </c>
    </row>
    <row r="2593" spans="1:6">
      <c r="A2593" s="1" t="s">
        <v>3683</v>
      </c>
      <c r="D2593" t="s">
        <v>3684</v>
      </c>
      <c r="E2593">
        <v>16</v>
      </c>
    </row>
    <row r="2594" spans="1:6">
      <c r="A2594" s="1" t="s">
        <v>3685</v>
      </c>
      <c r="D2594" t="s">
        <v>3686</v>
      </c>
      <c r="E2594">
        <v>16</v>
      </c>
    </row>
    <row r="2597" spans="1:6">
      <c r="A2597" s="1" t="s">
        <v>3687</v>
      </c>
      <c r="D2597" t="s">
        <v>3688</v>
      </c>
      <c r="E2597">
        <v>32</v>
      </c>
    </row>
    <row r="2600" spans="1:6">
      <c r="A2600" s="1">
        <v>175984</v>
      </c>
      <c r="E2600">
        <v>32</v>
      </c>
    </row>
    <row r="2601" spans="1:6">
      <c r="A2601" s="1">
        <v>175988</v>
      </c>
      <c r="D2601" t="s">
        <v>3689</v>
      </c>
      <c r="E2601">
        <v>32</v>
      </c>
      <c r="F2601" s="3" t="s">
        <v>3690</v>
      </c>
    </row>
    <row r="2602" spans="1:6">
      <c r="A2602" s="1" t="s">
        <v>3691</v>
      </c>
      <c r="D2602" t="s">
        <v>3692</v>
      </c>
      <c r="E2602">
        <v>32</v>
      </c>
      <c r="F2602" s="3" t="s">
        <v>3693</v>
      </c>
    </row>
    <row r="2604" spans="1:6">
      <c r="A2604" s="1" t="s">
        <v>3694</v>
      </c>
      <c r="D2604" t="s">
        <v>3695</v>
      </c>
      <c r="E2604">
        <v>32</v>
      </c>
    </row>
    <row r="2605" spans="1:6">
      <c r="A2605" s="1" t="s">
        <v>3696</v>
      </c>
      <c r="D2605" t="s">
        <v>3697</v>
      </c>
      <c r="E2605">
        <v>32</v>
      </c>
    </row>
    <row r="2606" spans="1:6">
      <c r="A2606" s="1" t="s">
        <v>3698</v>
      </c>
      <c r="E2606">
        <v>32</v>
      </c>
    </row>
    <row r="2607" spans="1:6">
      <c r="A2607" s="1" t="s">
        <v>3699</v>
      </c>
      <c r="D2607" t="s">
        <v>3700</v>
      </c>
      <c r="E2607">
        <v>32</v>
      </c>
      <c r="F2607" s="3" t="s">
        <v>3701</v>
      </c>
    </row>
    <row r="2608" spans="1:6">
      <c r="A2608" s="1" t="s">
        <v>3702</v>
      </c>
      <c r="D2608" t="s">
        <v>3703</v>
      </c>
      <c r="E2608">
        <v>32</v>
      </c>
    </row>
    <row r="2609" spans="1:7">
      <c r="A2609" s="1" t="s">
        <v>3704</v>
      </c>
      <c r="D2609" t="s">
        <v>3705</v>
      </c>
      <c r="E2609">
        <v>32</v>
      </c>
    </row>
    <row r="2610" spans="1:7">
      <c r="A2610" s="1" t="s">
        <v>3706</v>
      </c>
      <c r="D2610" t="s">
        <v>3707</v>
      </c>
      <c r="E2610">
        <v>32</v>
      </c>
    </row>
    <row r="2612" spans="1:7">
      <c r="A2612" s="1" t="s">
        <v>3708</v>
      </c>
      <c r="D2612" t="s">
        <v>3709</v>
      </c>
      <c r="E2612">
        <v>32</v>
      </c>
    </row>
    <row r="2613" spans="1:7">
      <c r="A2613" s="1" t="s">
        <v>3710</v>
      </c>
      <c r="D2613" t="s">
        <v>3711</v>
      </c>
      <c r="E2613">
        <v>32</v>
      </c>
      <c r="F2613" s="3" t="s">
        <v>3712</v>
      </c>
      <c r="G2613" t="s">
        <v>3713</v>
      </c>
    </row>
    <row r="2614" spans="1:7">
      <c r="D2614" t="s">
        <v>3714</v>
      </c>
    </row>
    <row r="2615" spans="1:7">
      <c r="A2615" s="1" t="s">
        <v>3715</v>
      </c>
      <c r="D2615" t="s">
        <v>3716</v>
      </c>
      <c r="E2615">
        <v>16</v>
      </c>
      <c r="F2615" s="3" t="s">
        <v>3717</v>
      </c>
    </row>
    <row r="2616" spans="1:7">
      <c r="A2616" s="1" t="s">
        <v>3718</v>
      </c>
      <c r="D2616" t="s">
        <v>3719</v>
      </c>
      <c r="E2616">
        <v>16</v>
      </c>
    </row>
    <row r="2617" spans="1:7">
      <c r="A2617" s="1" t="s">
        <v>3720</v>
      </c>
      <c r="D2617" t="s">
        <v>2721</v>
      </c>
      <c r="E2617">
        <v>16</v>
      </c>
    </row>
    <row r="2618" spans="1:7">
      <c r="A2618" s="1" t="s">
        <v>3721</v>
      </c>
      <c r="D2618" t="s">
        <v>3722</v>
      </c>
      <c r="E2618">
        <v>8</v>
      </c>
    </row>
    <row r="2620" spans="1:7">
      <c r="A2620" s="1" t="s">
        <v>3723</v>
      </c>
      <c r="D2620" t="s">
        <v>3724</v>
      </c>
      <c r="E2620">
        <v>16</v>
      </c>
    </row>
    <row r="2621" spans="1:7">
      <c r="A2621" s="1" t="s">
        <v>3725</v>
      </c>
      <c r="D2621" t="s">
        <v>3726</v>
      </c>
      <c r="E2621">
        <v>8</v>
      </c>
    </row>
    <row r="2622" spans="1:7">
      <c r="A2622" s="1" t="s">
        <v>3727</v>
      </c>
      <c r="E2622">
        <v>8</v>
      </c>
    </row>
    <row r="2624" spans="1:7">
      <c r="A2624" s="1" t="s">
        <v>3728</v>
      </c>
      <c r="D2624" t="s">
        <v>3729</v>
      </c>
      <c r="E2624">
        <v>32</v>
      </c>
    </row>
    <row r="2626" spans="1:6">
      <c r="A2626" s="1" t="s">
        <v>3730</v>
      </c>
      <c r="D2626" t="s">
        <v>3731</v>
      </c>
      <c r="E2626">
        <v>8</v>
      </c>
      <c r="F2626" s="3" t="s">
        <v>3732</v>
      </c>
    </row>
    <row r="2628" spans="1:6">
      <c r="A2628" s="1" t="s">
        <v>3733</v>
      </c>
      <c r="D2628" t="s">
        <v>3734</v>
      </c>
      <c r="E2628">
        <v>16</v>
      </c>
    </row>
    <row r="2629" spans="1:6">
      <c r="A2629" s="1" t="s">
        <v>3735</v>
      </c>
      <c r="D2629" t="s">
        <v>3736</v>
      </c>
      <c r="E2629">
        <v>16</v>
      </c>
      <c r="F2629" s="3" t="s">
        <v>3737</v>
      </c>
    </row>
    <row r="2630" spans="1:6">
      <c r="A2630" s="1" t="s">
        <v>3738</v>
      </c>
      <c r="D2630" t="s">
        <v>3739</v>
      </c>
      <c r="E2630">
        <v>16</v>
      </c>
    </row>
    <row r="2631" spans="1:6">
      <c r="A2631" s="1" t="s">
        <v>3740</v>
      </c>
      <c r="D2631" t="s">
        <v>3741</v>
      </c>
      <c r="E2631">
        <v>16</v>
      </c>
    </row>
    <row r="2632" spans="1:6">
      <c r="A2632" s="1" t="s">
        <v>3742</v>
      </c>
      <c r="D2632" t="s">
        <v>3743</v>
      </c>
      <c r="E2632">
        <v>16</v>
      </c>
    </row>
    <row r="2633" spans="1:6">
      <c r="A2633" s="1" t="s">
        <v>3744</v>
      </c>
      <c r="D2633" t="s">
        <v>3745</v>
      </c>
      <c r="E2633">
        <v>16</v>
      </c>
    </row>
    <row r="2634" spans="1:6">
      <c r="A2634" s="1" t="s">
        <v>3746</v>
      </c>
      <c r="D2634" t="s">
        <v>3743</v>
      </c>
      <c r="E2634">
        <v>16</v>
      </c>
    </row>
    <row r="2635" spans="1:6">
      <c r="A2635" s="1" t="s">
        <v>3747</v>
      </c>
      <c r="D2635" t="s">
        <v>3748</v>
      </c>
      <c r="E2635">
        <v>16</v>
      </c>
    </row>
    <row r="2636" spans="1:6">
      <c r="A2636" s="1" t="s">
        <v>3749</v>
      </c>
      <c r="D2636" t="s">
        <v>3750</v>
      </c>
      <c r="E2636">
        <v>8</v>
      </c>
    </row>
    <row r="2637" spans="1:6">
      <c r="A2637" s="1" t="s">
        <v>3751</v>
      </c>
      <c r="D2637" t="s">
        <v>3752</v>
      </c>
      <c r="E2637">
        <v>8</v>
      </c>
    </row>
    <row r="2639" spans="1:6">
      <c r="A2639" s="1">
        <v>176130</v>
      </c>
      <c r="D2639" t="s">
        <v>977</v>
      </c>
      <c r="E2639">
        <v>8</v>
      </c>
      <c r="F2639" s="3" t="s">
        <v>978</v>
      </c>
    </row>
    <row r="2640" spans="1:6">
      <c r="A2640" s="1">
        <v>176131</v>
      </c>
      <c r="D2640" t="s">
        <v>981</v>
      </c>
      <c r="E2640">
        <v>8</v>
      </c>
    </row>
    <row r="2641" spans="1:6">
      <c r="A2641" s="1">
        <v>176132</v>
      </c>
      <c r="D2641" t="s">
        <v>983</v>
      </c>
      <c r="E2641">
        <v>8</v>
      </c>
    </row>
    <row r="2642" spans="1:6">
      <c r="A2642" s="1">
        <v>176133</v>
      </c>
      <c r="D2642" t="s">
        <v>985</v>
      </c>
      <c r="E2642">
        <v>8</v>
      </c>
    </row>
    <row r="2643" spans="1:6">
      <c r="A2643" s="1">
        <v>176134</v>
      </c>
      <c r="D2643" t="s">
        <v>987</v>
      </c>
      <c r="E2643">
        <v>8</v>
      </c>
      <c r="F2643" s="3" t="s">
        <v>988</v>
      </c>
    </row>
    <row r="2644" spans="1:6">
      <c r="A2644" s="1">
        <v>176135</v>
      </c>
      <c r="D2644" t="s">
        <v>990</v>
      </c>
      <c r="E2644">
        <v>8</v>
      </c>
      <c r="F2644" s="3" t="s">
        <v>988</v>
      </c>
    </row>
    <row r="2645" spans="1:6">
      <c r="A2645" s="1">
        <v>176136</v>
      </c>
      <c r="D2645" t="s">
        <v>992</v>
      </c>
      <c r="E2645">
        <v>8</v>
      </c>
      <c r="F2645" s="3" t="s">
        <v>988</v>
      </c>
    </row>
    <row r="2646" spans="1:6">
      <c r="A2646" s="1">
        <v>176137</v>
      </c>
      <c r="D2646" t="s">
        <v>994</v>
      </c>
      <c r="E2646">
        <v>8</v>
      </c>
      <c r="F2646" s="3" t="s">
        <v>988</v>
      </c>
    </row>
    <row r="2647" spans="1:6">
      <c r="A2647" s="1">
        <v>176138</v>
      </c>
      <c r="D2647" t="s">
        <v>996</v>
      </c>
      <c r="E2647">
        <v>8</v>
      </c>
      <c r="F2647" s="3" t="s">
        <v>997</v>
      </c>
    </row>
    <row r="2648" spans="1:6">
      <c r="A2648" s="1">
        <v>176139</v>
      </c>
      <c r="D2648" t="s">
        <v>999</v>
      </c>
      <c r="E2648">
        <v>8</v>
      </c>
      <c r="F2648" s="3" t="s">
        <v>1000</v>
      </c>
    </row>
    <row r="2649" spans="1:6">
      <c r="A2649" s="1" t="s">
        <v>3753</v>
      </c>
      <c r="D2649" t="s">
        <v>287</v>
      </c>
      <c r="E2649">
        <v>8</v>
      </c>
    </row>
    <row r="2650" spans="1:6">
      <c r="A2650" s="1" t="s">
        <v>3754</v>
      </c>
      <c r="D2650" t="s">
        <v>1003</v>
      </c>
      <c r="E2650">
        <v>8</v>
      </c>
      <c r="F2650" s="3" t="s">
        <v>988</v>
      </c>
    </row>
    <row r="2651" spans="1:6">
      <c r="A2651" s="1" t="s">
        <v>3755</v>
      </c>
      <c r="D2651" t="s">
        <v>1005</v>
      </c>
      <c r="E2651">
        <v>8</v>
      </c>
      <c r="F2651" s="3" t="s">
        <v>988</v>
      </c>
    </row>
    <row r="2652" spans="1:6">
      <c r="A2652" s="1" t="s">
        <v>3756</v>
      </c>
      <c r="D2652" t="s">
        <v>1007</v>
      </c>
      <c r="E2652">
        <v>8</v>
      </c>
      <c r="F2652" s="3" t="s">
        <v>1008</v>
      </c>
    </row>
    <row r="2653" spans="1:6">
      <c r="A2653" s="1" t="s">
        <v>3757</v>
      </c>
      <c r="D2653" t="s">
        <v>1010</v>
      </c>
      <c r="E2653">
        <v>8</v>
      </c>
    </row>
    <row r="2654" spans="1:6">
      <c r="A2654" s="1" t="s">
        <v>3758</v>
      </c>
      <c r="D2654" t="s">
        <v>1012</v>
      </c>
      <c r="E2654">
        <v>8</v>
      </c>
    </row>
    <row r="2655" spans="1:6">
      <c r="A2655" s="1">
        <v>176140</v>
      </c>
      <c r="D2655" t="s">
        <v>1014</v>
      </c>
      <c r="E2655">
        <v>8</v>
      </c>
    </row>
    <row r="2656" spans="1:6">
      <c r="A2656" s="1">
        <v>176141</v>
      </c>
      <c r="D2656" t="s">
        <v>1016</v>
      </c>
      <c r="E2656">
        <v>8</v>
      </c>
    </row>
    <row r="2657" spans="1:10">
      <c r="A2657" s="1">
        <v>176142</v>
      </c>
      <c r="D2657" t="s">
        <v>1018</v>
      </c>
      <c r="E2657">
        <v>8</v>
      </c>
    </row>
    <row r="2660" spans="1:10">
      <c r="A2660" s="1" t="s">
        <v>3759</v>
      </c>
      <c r="D2660" t="s">
        <v>3760</v>
      </c>
      <c r="E2660">
        <v>32</v>
      </c>
    </row>
    <row r="2661" spans="1:10">
      <c r="A2661" s="1" t="s">
        <v>3761</v>
      </c>
      <c r="D2661" t="s">
        <v>3762</v>
      </c>
      <c r="E2661">
        <v>16</v>
      </c>
      <c r="F2661" s="3" t="s">
        <v>3763</v>
      </c>
    </row>
    <row r="2663" spans="1:10">
      <c r="A2663" s="4"/>
    </row>
    <row r="2665" spans="1:10">
      <c r="A2665" s="1" t="s">
        <v>3764</v>
      </c>
      <c r="D2665" s="54" t="s">
        <v>3765</v>
      </c>
      <c r="E2665">
        <v>16</v>
      </c>
      <c r="F2665" s="3" t="s">
        <v>3766</v>
      </c>
      <c r="G2665" t="s">
        <v>3767</v>
      </c>
      <c r="I2665" t="s">
        <v>3768</v>
      </c>
      <c r="J2665" t="s">
        <v>3769</v>
      </c>
    </row>
    <row r="2667" spans="1:10">
      <c r="A2667" s="1" t="s">
        <v>3770</v>
      </c>
      <c r="D2667" t="s">
        <v>3771</v>
      </c>
      <c r="E2667">
        <v>16</v>
      </c>
    </row>
    <row r="2668" spans="1:10">
      <c r="A2668" s="1" t="s">
        <v>3772</v>
      </c>
      <c r="D2668" t="s">
        <v>3773</v>
      </c>
      <c r="E2668">
        <v>8</v>
      </c>
      <c r="F2668" s="3" t="s">
        <v>3774</v>
      </c>
    </row>
    <row r="2669" spans="1:10">
      <c r="A2669" s="1" t="s">
        <v>3775</v>
      </c>
      <c r="D2669" t="s">
        <v>3776</v>
      </c>
      <c r="E2669">
        <v>8</v>
      </c>
      <c r="F2669" s="3" t="s">
        <v>3777</v>
      </c>
    </row>
    <row r="2671" spans="1:10">
      <c r="A2671" s="1" t="s">
        <v>3778</v>
      </c>
      <c r="D2671" s="54" t="s">
        <v>3779</v>
      </c>
    </row>
    <row r="2674" spans="1:7">
      <c r="A2674" s="1" t="s">
        <v>3780</v>
      </c>
      <c r="D2674" t="s">
        <v>3781</v>
      </c>
      <c r="E2674">
        <v>16</v>
      </c>
      <c r="F2674" s="3" t="s">
        <v>3766</v>
      </c>
      <c r="G2674" t="s">
        <v>3767</v>
      </c>
    </row>
    <row r="2676" spans="1:7">
      <c r="A2676" s="1" t="s">
        <v>8027</v>
      </c>
      <c r="D2676" t="s">
        <v>8031</v>
      </c>
      <c r="E2676">
        <v>32</v>
      </c>
    </row>
    <row r="2678" spans="1:7">
      <c r="A2678" s="1">
        <v>176473</v>
      </c>
      <c r="D2678" t="s">
        <v>3782</v>
      </c>
      <c r="F2678" s="3" t="s">
        <v>3783</v>
      </c>
    </row>
    <row r="2680" spans="1:7">
      <c r="A2680" s="1" t="s">
        <v>3784</v>
      </c>
      <c r="D2680" t="s">
        <v>3785</v>
      </c>
      <c r="E2680">
        <v>32</v>
      </c>
    </row>
    <row r="2682" spans="1:7">
      <c r="A2682" s="1" t="s">
        <v>3786</v>
      </c>
      <c r="D2682" t="s">
        <v>3787</v>
      </c>
      <c r="E2682">
        <v>16</v>
      </c>
      <c r="F2682" s="3" t="s">
        <v>3766</v>
      </c>
      <c r="G2682" t="s">
        <v>3767</v>
      </c>
    </row>
    <row r="2685" spans="1:7">
      <c r="A2685" s="1" t="s">
        <v>8049</v>
      </c>
      <c r="D2685" t="s">
        <v>8050</v>
      </c>
    </row>
    <row r="2687" spans="1:7">
      <c r="A2687" s="1" t="s">
        <v>3788</v>
      </c>
      <c r="D2687" t="s">
        <v>3789</v>
      </c>
      <c r="E2687">
        <v>8</v>
      </c>
      <c r="F2687" s="3" t="s">
        <v>3777</v>
      </c>
    </row>
    <row r="2689" spans="1:6">
      <c r="A2689" s="1" t="s">
        <v>8051</v>
      </c>
      <c r="D2689" t="s">
        <v>8052</v>
      </c>
      <c r="E2689">
        <v>32</v>
      </c>
    </row>
    <row r="2692" spans="1:6">
      <c r="A2692" s="1" t="s">
        <v>3790</v>
      </c>
      <c r="D2692" t="s">
        <v>3762</v>
      </c>
      <c r="F2692" s="3" t="s">
        <v>8260</v>
      </c>
    </row>
    <row r="2694" spans="1:6">
      <c r="A2694" s="1">
        <v>176628</v>
      </c>
      <c r="D2694" t="s">
        <v>3791</v>
      </c>
      <c r="E2694">
        <v>16</v>
      </c>
    </row>
    <row r="2696" spans="1:6">
      <c r="A2696" s="1" t="s">
        <v>3792</v>
      </c>
      <c r="D2696" t="s">
        <v>3793</v>
      </c>
      <c r="E2696">
        <v>16</v>
      </c>
      <c r="F2696" s="3" t="s">
        <v>3794</v>
      </c>
    </row>
    <row r="2698" spans="1:6">
      <c r="A2698" s="1" t="s">
        <v>3795</v>
      </c>
      <c r="D2698" t="s">
        <v>913</v>
      </c>
      <c r="E2698">
        <v>8</v>
      </c>
      <c r="F2698" s="3" t="s">
        <v>3796</v>
      </c>
    </row>
    <row r="2702" spans="1:6">
      <c r="A2702" s="1" t="s">
        <v>3797</v>
      </c>
      <c r="D2702" t="s">
        <v>3798</v>
      </c>
      <c r="E2702">
        <v>32</v>
      </c>
    </row>
    <row r="2703" spans="1:6">
      <c r="A2703" s="1" t="s">
        <v>3799</v>
      </c>
      <c r="B2703" s="2" t="s">
        <v>536</v>
      </c>
      <c r="D2703" t="s">
        <v>3800</v>
      </c>
      <c r="E2703">
        <v>16</v>
      </c>
    </row>
    <row r="2705" spans="1:6">
      <c r="A2705" s="1" t="s">
        <v>3801</v>
      </c>
      <c r="B2705" s="2" t="s">
        <v>587</v>
      </c>
      <c r="D2705" t="s">
        <v>3802</v>
      </c>
      <c r="E2705">
        <v>32</v>
      </c>
    </row>
    <row r="2707" spans="1:6">
      <c r="A2707" s="1" t="s">
        <v>8063</v>
      </c>
      <c r="D2707" t="s">
        <v>8064</v>
      </c>
      <c r="E2707">
        <v>32</v>
      </c>
    </row>
    <row r="2709" spans="1:6">
      <c r="A2709" s="1" t="s">
        <v>3803</v>
      </c>
      <c r="D2709" t="s">
        <v>3804</v>
      </c>
      <c r="E2709">
        <v>32</v>
      </c>
    </row>
    <row r="2710" spans="1:6">
      <c r="A2710" s="1" t="s">
        <v>3805</v>
      </c>
      <c r="D2710" t="s">
        <v>3806</v>
      </c>
      <c r="E2710">
        <v>32</v>
      </c>
    </row>
    <row r="2712" spans="1:6">
      <c r="A2712" s="1" t="s">
        <v>3807</v>
      </c>
      <c r="D2712" t="s">
        <v>3808</v>
      </c>
    </row>
    <row r="2715" spans="1:6">
      <c r="A2715" s="1" t="s">
        <v>3809</v>
      </c>
      <c r="D2715" t="s">
        <v>3810</v>
      </c>
    </row>
    <row r="2717" spans="1:6">
      <c r="A2717" s="1" t="s">
        <v>3811</v>
      </c>
      <c r="D2717" t="s">
        <v>3812</v>
      </c>
    </row>
    <row r="2719" spans="1:6">
      <c r="A2719" s="4" t="s">
        <v>3813</v>
      </c>
      <c r="D2719" t="s">
        <v>3814</v>
      </c>
      <c r="E2719">
        <v>32</v>
      </c>
      <c r="F2719" s="3" t="s">
        <v>2906</v>
      </c>
    </row>
    <row r="2721" spans="1:6">
      <c r="A2721" s="1" t="s">
        <v>3815</v>
      </c>
      <c r="D2721" t="s">
        <v>3816</v>
      </c>
      <c r="E2721">
        <v>16</v>
      </c>
    </row>
    <row r="2725" spans="1:6">
      <c r="A2725"/>
      <c r="B2725"/>
      <c r="C2725"/>
    </row>
    <row r="2727" spans="1:6">
      <c r="A2727" s="1" t="s">
        <v>3817</v>
      </c>
      <c r="D2727" t="s">
        <v>3818</v>
      </c>
    </row>
    <row r="2729" spans="1:6">
      <c r="A2729" s="1" t="s">
        <v>3819</v>
      </c>
      <c r="D2729" t="s">
        <v>3820</v>
      </c>
    </row>
    <row r="2732" spans="1:6">
      <c r="A2732" s="1" t="s">
        <v>3821</v>
      </c>
      <c r="D2732" t="s">
        <v>3822</v>
      </c>
      <c r="F2732" s="3" t="s">
        <v>3823</v>
      </c>
    </row>
    <row r="2734" spans="1:6">
      <c r="A2734" s="1" t="s">
        <v>3824</v>
      </c>
      <c r="D2734" t="s">
        <v>3825</v>
      </c>
      <c r="F2734" s="3" t="s">
        <v>3826</v>
      </c>
    </row>
    <row r="2736" spans="1:6">
      <c r="A2736" s="1" t="s">
        <v>3827</v>
      </c>
      <c r="B2736" s="2" t="s">
        <v>1302</v>
      </c>
      <c r="D2736" t="s">
        <v>3828</v>
      </c>
      <c r="E2736">
        <v>32</v>
      </c>
    </row>
    <row r="2737" spans="1:5">
      <c r="A2737" s="1" t="s">
        <v>3829</v>
      </c>
      <c r="B2737" s="2" t="s">
        <v>2510</v>
      </c>
      <c r="D2737" t="s">
        <v>3830</v>
      </c>
      <c r="E2737">
        <v>32</v>
      </c>
    </row>
    <row r="2738" spans="1:5">
      <c r="A2738" s="1" t="s">
        <v>3831</v>
      </c>
      <c r="B2738" s="2" t="s">
        <v>2514</v>
      </c>
      <c r="D2738" t="s">
        <v>3832</v>
      </c>
      <c r="E2738">
        <v>16</v>
      </c>
    </row>
    <row r="2739" spans="1:5">
      <c r="A2739" s="1" t="s">
        <v>3833</v>
      </c>
      <c r="B2739" s="2" t="s">
        <v>3834</v>
      </c>
      <c r="D2739" t="s">
        <v>3835</v>
      </c>
      <c r="E2739">
        <v>8</v>
      </c>
    </row>
    <row r="2740" spans="1:5">
      <c r="A2740" s="1" t="s">
        <v>3836</v>
      </c>
      <c r="B2740" s="2" t="s">
        <v>3837</v>
      </c>
      <c r="D2740" t="s">
        <v>3838</v>
      </c>
      <c r="E2740">
        <v>8</v>
      </c>
    </row>
    <row r="2741" spans="1:5">
      <c r="A2741" s="1" t="s">
        <v>3839</v>
      </c>
      <c r="B2741" s="2" t="s">
        <v>2518</v>
      </c>
      <c r="D2741" t="s">
        <v>3840</v>
      </c>
      <c r="E2741">
        <v>8</v>
      </c>
    </row>
    <row r="2742" spans="1:5">
      <c r="A2742" s="1" t="s">
        <v>3841</v>
      </c>
      <c r="B2742" s="2" t="s">
        <v>3842</v>
      </c>
      <c r="D2742" t="s">
        <v>3840</v>
      </c>
      <c r="E2742">
        <v>8</v>
      </c>
    </row>
    <row r="2743" spans="1:5">
      <c r="A2743" s="1" t="s">
        <v>3843</v>
      </c>
      <c r="B2743" s="2" t="s">
        <v>2793</v>
      </c>
      <c r="D2743" t="s">
        <v>3840</v>
      </c>
      <c r="E2743">
        <v>8</v>
      </c>
    </row>
    <row r="2744" spans="1:5">
      <c r="A2744" s="1" t="s">
        <v>3844</v>
      </c>
      <c r="B2744" s="2" t="s">
        <v>3845</v>
      </c>
      <c r="D2744" t="s">
        <v>3838</v>
      </c>
      <c r="E2744">
        <v>8</v>
      </c>
    </row>
    <row r="2745" spans="1:5">
      <c r="A2745" s="1" t="s">
        <v>3846</v>
      </c>
      <c r="B2745" s="2" t="s">
        <v>2594</v>
      </c>
      <c r="D2745" t="s">
        <v>3840</v>
      </c>
      <c r="E2745">
        <v>16</v>
      </c>
    </row>
    <row r="2746" spans="1:5">
      <c r="A2746" s="1" t="s">
        <v>3847</v>
      </c>
      <c r="B2746" s="2" t="s">
        <v>2596</v>
      </c>
      <c r="D2746" t="s">
        <v>3838</v>
      </c>
      <c r="E2746">
        <v>16</v>
      </c>
    </row>
    <row r="2747" spans="1:5">
      <c r="A2747" s="1" t="s">
        <v>3848</v>
      </c>
      <c r="B2747" s="2" t="s">
        <v>2598</v>
      </c>
      <c r="D2747" t="s">
        <v>3849</v>
      </c>
      <c r="E2747">
        <v>16</v>
      </c>
    </row>
    <row r="2748" spans="1:5">
      <c r="A2748" s="1" t="s">
        <v>3850</v>
      </c>
      <c r="B2748" s="2" t="s">
        <v>2798</v>
      </c>
      <c r="D2748" t="s">
        <v>3851</v>
      </c>
      <c r="E2748">
        <v>8</v>
      </c>
    </row>
    <row r="2749" spans="1:5">
      <c r="A2749" s="1" t="s">
        <v>3852</v>
      </c>
      <c r="B2749" s="2" t="s">
        <v>3853</v>
      </c>
      <c r="D2749" t="s">
        <v>3854</v>
      </c>
      <c r="E2749">
        <v>8</v>
      </c>
    </row>
    <row r="2750" spans="1:5">
      <c r="A2750" s="1" t="s">
        <v>3855</v>
      </c>
      <c r="B2750" s="2" t="s">
        <v>2600</v>
      </c>
      <c r="D2750" t="s">
        <v>3856</v>
      </c>
      <c r="E2750">
        <v>16</v>
      </c>
    </row>
    <row r="2751" spans="1:5">
      <c r="A2751" s="1" t="s">
        <v>3857</v>
      </c>
      <c r="B2751" s="2" t="s">
        <v>2931</v>
      </c>
      <c r="D2751" t="s">
        <v>3858</v>
      </c>
      <c r="E2751">
        <v>16</v>
      </c>
    </row>
    <row r="2752" spans="1:5">
      <c r="A2752" s="1" t="s">
        <v>3859</v>
      </c>
      <c r="B2752" s="2" t="s">
        <v>2933</v>
      </c>
      <c r="D2752" t="s">
        <v>3860</v>
      </c>
      <c r="E2752">
        <v>8</v>
      </c>
    </row>
    <row r="2753" spans="1:6">
      <c r="A2753" s="1" t="s">
        <v>3861</v>
      </c>
      <c r="B2753" s="2" t="s">
        <v>3862</v>
      </c>
      <c r="D2753" t="s">
        <v>3863</v>
      </c>
      <c r="E2753">
        <v>8</v>
      </c>
    </row>
    <row r="2754" spans="1:6">
      <c r="A2754" s="1" t="s">
        <v>3864</v>
      </c>
      <c r="B2754" s="2" t="s">
        <v>2937</v>
      </c>
      <c r="D2754" t="s">
        <v>3865</v>
      </c>
      <c r="E2754">
        <v>16</v>
      </c>
    </row>
    <row r="2755" spans="1:6">
      <c r="A2755" s="1" t="s">
        <v>3866</v>
      </c>
      <c r="B2755" s="2" t="s">
        <v>2802</v>
      </c>
      <c r="D2755" t="s">
        <v>3867</v>
      </c>
      <c r="E2755">
        <v>16</v>
      </c>
    </row>
    <row r="2757" spans="1:6">
      <c r="A2757" s="1" t="s">
        <v>3868</v>
      </c>
      <c r="B2757" s="2" t="s">
        <v>2811</v>
      </c>
      <c r="D2757" t="s">
        <v>3869</v>
      </c>
      <c r="F2757" s="3" t="s">
        <v>2830</v>
      </c>
    </row>
    <row r="2759" spans="1:6">
      <c r="A2759" s="1" t="s">
        <v>3870</v>
      </c>
      <c r="D2759" t="s">
        <v>3871</v>
      </c>
      <c r="E2759">
        <v>32</v>
      </c>
    </row>
    <row r="2760" spans="1:6">
      <c r="A2760" s="1" t="s">
        <v>3872</v>
      </c>
      <c r="D2760" t="s">
        <v>3873</v>
      </c>
      <c r="E2760">
        <v>32</v>
      </c>
    </row>
    <row r="2762" spans="1:6">
      <c r="A2762" s="1" t="s">
        <v>3874</v>
      </c>
      <c r="D2762" t="s">
        <v>3875</v>
      </c>
      <c r="E2762">
        <v>16</v>
      </c>
    </row>
    <row r="2764" spans="1:6">
      <c r="A2764" s="1" t="s">
        <v>3876</v>
      </c>
      <c r="D2764" t="s">
        <v>3877</v>
      </c>
    </row>
    <row r="2767" spans="1:6">
      <c r="A2767" s="1" t="s">
        <v>3878</v>
      </c>
      <c r="D2767" t="s">
        <v>3879</v>
      </c>
    </row>
    <row r="2771" spans="1:8">
      <c r="A2771" s="1" t="s">
        <v>3880</v>
      </c>
      <c r="D2771" t="s">
        <v>3782</v>
      </c>
      <c r="F2771" s="3" t="s">
        <v>3881</v>
      </c>
      <c r="H2771" t="s">
        <v>3882</v>
      </c>
    </row>
    <row r="2773" spans="1:8">
      <c r="A2773" s="1" t="s">
        <v>3883</v>
      </c>
      <c r="D2773" t="s">
        <v>3884</v>
      </c>
      <c r="E2773">
        <v>16</v>
      </c>
    </row>
    <row r="2775" spans="1:8">
      <c r="A2775" s="1" t="s">
        <v>3885</v>
      </c>
      <c r="D2775" t="s">
        <v>3782</v>
      </c>
    </row>
    <row r="2779" spans="1:8">
      <c r="A2779" s="1" t="s">
        <v>3886</v>
      </c>
      <c r="D2779" t="s">
        <v>3887</v>
      </c>
    </row>
    <row r="2781" spans="1:8">
      <c r="A2781" s="1" t="s">
        <v>3888</v>
      </c>
      <c r="D2781" t="s">
        <v>3889</v>
      </c>
    </row>
    <row r="2783" spans="1:8">
      <c r="A2783" s="1" t="s">
        <v>3890</v>
      </c>
      <c r="D2783" t="s">
        <v>3891</v>
      </c>
      <c r="E2783">
        <v>16</v>
      </c>
    </row>
    <row r="2786" spans="1:6">
      <c r="A2786" s="1" t="s">
        <v>3892</v>
      </c>
      <c r="D2786" t="s">
        <v>3893</v>
      </c>
      <c r="F2786" s="3" t="s">
        <v>3894</v>
      </c>
    </row>
    <row r="2788" spans="1:6">
      <c r="A2788" s="1" t="s">
        <v>3895</v>
      </c>
      <c r="D2788" t="s">
        <v>3896</v>
      </c>
      <c r="F2788" s="3" t="s">
        <v>3894</v>
      </c>
    </row>
    <row r="2794" spans="1:6">
      <c r="A2794" s="1" t="s">
        <v>3897</v>
      </c>
      <c r="D2794" t="s">
        <v>3898</v>
      </c>
      <c r="F2794" s="3" t="s">
        <v>3899</v>
      </c>
    </row>
    <row r="2796" spans="1:6">
      <c r="A2796" s="1" t="s">
        <v>3900</v>
      </c>
      <c r="D2796" t="s">
        <v>3901</v>
      </c>
      <c r="F2796" s="3" t="s">
        <v>3899</v>
      </c>
    </row>
    <row r="2798" spans="1:6">
      <c r="A2798" s="1" t="s">
        <v>3902</v>
      </c>
      <c r="D2798" t="s">
        <v>3901</v>
      </c>
      <c r="F2798" s="3" t="s">
        <v>3899</v>
      </c>
    </row>
    <row r="2800" spans="1:6">
      <c r="A2800" s="1" t="s">
        <v>3903</v>
      </c>
      <c r="D2800" t="s">
        <v>3901</v>
      </c>
      <c r="F2800" s="3" t="s">
        <v>3899</v>
      </c>
    </row>
    <row r="2802" spans="1:6">
      <c r="A2802" s="1" t="s">
        <v>3904</v>
      </c>
      <c r="D2802" t="s">
        <v>3898</v>
      </c>
    </row>
    <row r="2803" spans="1:6">
      <c r="A2803" s="1" t="s">
        <v>3905</v>
      </c>
      <c r="D2803" t="s">
        <v>3901</v>
      </c>
    </row>
    <row r="2804" spans="1:6">
      <c r="A2804" s="1" t="s">
        <v>3906</v>
      </c>
      <c r="D2804" t="s">
        <v>3901</v>
      </c>
    </row>
    <row r="2805" spans="1:6">
      <c r="A2805" s="1" t="s">
        <v>3907</v>
      </c>
      <c r="D2805" t="s">
        <v>3901</v>
      </c>
    </row>
    <row r="2807" spans="1:6">
      <c r="A2807" s="1" t="s">
        <v>3908</v>
      </c>
      <c r="D2807" t="s">
        <v>3909</v>
      </c>
      <c r="F2807" s="3" t="s">
        <v>3910</v>
      </c>
    </row>
    <row r="2809" spans="1:6">
      <c r="A2809" s="1" t="s">
        <v>3911</v>
      </c>
      <c r="D2809" t="s">
        <v>3912</v>
      </c>
    </row>
    <row r="2811" spans="1:6">
      <c r="A2811" s="1" t="s">
        <v>3913</v>
      </c>
      <c r="D2811" t="s">
        <v>3914</v>
      </c>
      <c r="F2811" s="3" t="s">
        <v>3910</v>
      </c>
    </row>
  </sheetData>
  <mergeCells count="5">
    <mergeCell ref="G688:G694"/>
    <mergeCell ref="I1453:J1453"/>
    <mergeCell ref="I1460:J1460"/>
    <mergeCell ref="I1467:J1467"/>
    <mergeCell ref="I1474:J1474"/>
  </mergeCells>
  <hyperlinks>
    <hyperlink ref="D653" r:id="rId1" location="p16" display="https://www.tapatalk.com/groups/vpw2dojo/viewtopic.php?p=16#p16" xr:uid="{00000000-0004-0000-0000-000000000000}"/>
    <hyperlink ref="F688" location="Current Match Type!A1" display="#Current Match Type" xr:uid="{00000000-0004-0000-0000-000001000000}"/>
    <hyperlink ref="F668" r:id="rId2" display="https://vpw.ajworld.net/vpw2/wrestler_modeltex.txt" xr:uid="{6009DDE0-2467-438F-9F73-0DB118E8B64C}"/>
  </hyperlinks>
  <pageMargins left="0" right="0" top="0.39374999999999999" bottom="0.39374999999999999" header="0" footer="0"/>
  <pageSetup paperSize="9" orientation="portrait" horizontalDpi="300" verticalDpi="300"/>
  <headerFooter>
    <oddHeader>&amp;C&amp;"Arial,Regular"&amp;A</oddHeader>
    <oddFooter>&amp;C&amp;"Arial,Regular"Page &amp;P</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08A4D-B91D-4EB7-BBE2-81CA97D03E88}">
  <dimension ref="A1:C8"/>
  <sheetViews>
    <sheetView workbookViewId="0">
      <selection activeCell="A4" sqref="A4"/>
    </sheetView>
  </sheetViews>
  <sheetFormatPr defaultRowHeight="15"/>
  <cols>
    <col min="1" max="1" width="21.140625" style="4" customWidth="1"/>
    <col min="2" max="2" width="9.140625" style="4"/>
    <col min="3" max="3" width="67.7109375" style="4" customWidth="1"/>
  </cols>
  <sheetData>
    <row r="1" spans="1:3">
      <c r="A1" s="4" t="s">
        <v>6673</v>
      </c>
      <c r="B1" s="4" t="s">
        <v>3483</v>
      </c>
    </row>
    <row r="2" spans="1:3">
      <c r="A2" s="4" t="s">
        <v>6675</v>
      </c>
      <c r="B2" s="4" t="s">
        <v>3508</v>
      </c>
    </row>
    <row r="3" spans="1:3">
      <c r="A3" s="4" t="s">
        <v>6677</v>
      </c>
      <c r="B3" s="4" t="s">
        <v>3511</v>
      </c>
      <c r="C3" s="4" t="s">
        <v>8273</v>
      </c>
    </row>
    <row r="4" spans="1:3">
      <c r="A4" s="4" t="s">
        <v>6679</v>
      </c>
      <c r="B4" s="4" t="s">
        <v>3502</v>
      </c>
      <c r="C4" s="4" t="s">
        <v>8274</v>
      </c>
    </row>
    <row r="5" spans="1:3">
      <c r="A5" s="4" t="s">
        <v>6681</v>
      </c>
      <c r="B5" s="4" t="s">
        <v>3493</v>
      </c>
      <c r="C5" s="4" t="s">
        <v>8272</v>
      </c>
    </row>
    <row r="6" spans="1:3">
      <c r="A6" s="4" t="s">
        <v>6683</v>
      </c>
      <c r="B6" s="4" t="s">
        <v>3551</v>
      </c>
      <c r="C6" s="4" t="s">
        <v>8270</v>
      </c>
    </row>
    <row r="7" spans="1:3">
      <c r="A7" s="4" t="s">
        <v>6685</v>
      </c>
      <c r="B7" s="4" t="s">
        <v>5068</v>
      </c>
    </row>
    <row r="8" spans="1:3">
      <c r="A8" s="4" t="s">
        <v>6687</v>
      </c>
      <c r="B8" s="4" t="s">
        <v>3487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7CD4A-C005-4524-A0A0-4D921E5E79D0}">
  <dimension ref="A1:C17"/>
  <sheetViews>
    <sheetView workbookViewId="0">
      <selection activeCell="C1" sqref="C1:C17"/>
    </sheetView>
  </sheetViews>
  <sheetFormatPr defaultRowHeight="15"/>
  <cols>
    <col min="1" max="1" width="21.140625" style="4" customWidth="1"/>
    <col min="2" max="2" width="9.140625" style="4"/>
    <col min="3" max="3" width="20" style="4" customWidth="1"/>
  </cols>
  <sheetData>
    <row r="1" spans="1:3">
      <c r="A1" s="4" t="s">
        <v>8217</v>
      </c>
      <c r="B1" s="4" t="s">
        <v>2111</v>
      </c>
      <c r="C1" s="4" t="s">
        <v>8245</v>
      </c>
    </row>
    <row r="2" spans="1:3">
      <c r="A2" s="4" t="s">
        <v>8218</v>
      </c>
      <c r="B2" s="4" t="s">
        <v>2114</v>
      </c>
      <c r="C2" s="4" t="s">
        <v>8214</v>
      </c>
    </row>
    <row r="3" spans="1:3">
      <c r="A3" s="4" t="s">
        <v>8219</v>
      </c>
      <c r="B3" s="4" t="s">
        <v>2099</v>
      </c>
      <c r="C3" s="4" t="s">
        <v>8246</v>
      </c>
    </row>
    <row r="4" spans="1:3">
      <c r="A4" s="4" t="s">
        <v>8220</v>
      </c>
      <c r="B4" s="4" t="s">
        <v>2108</v>
      </c>
      <c r="C4" s="4" t="s">
        <v>8247</v>
      </c>
    </row>
    <row r="5" spans="1:3">
      <c r="A5" s="4" t="s">
        <v>8221</v>
      </c>
      <c r="B5" s="4" t="s">
        <v>2102</v>
      </c>
      <c r="C5" s="4" t="s">
        <v>8244</v>
      </c>
    </row>
    <row r="6" spans="1:3">
      <c r="A6" s="4" t="s">
        <v>8222</v>
      </c>
      <c r="B6" s="4" t="s">
        <v>2105</v>
      </c>
      <c r="C6" s="4" t="s">
        <v>8243</v>
      </c>
    </row>
    <row r="7" spans="1:3">
      <c r="A7" s="4" t="s">
        <v>8223</v>
      </c>
      <c r="B7" s="4" t="s">
        <v>8215</v>
      </c>
    </row>
    <row r="8" spans="1:3">
      <c r="A8" s="4" t="s">
        <v>8224</v>
      </c>
      <c r="B8" s="4" t="s">
        <v>8216</v>
      </c>
    </row>
    <row r="10" spans="1:3">
      <c r="A10" s="4" t="s">
        <v>8225</v>
      </c>
      <c r="B10" s="4" t="s">
        <v>7206</v>
      </c>
      <c r="C10" s="4" t="s">
        <v>8241</v>
      </c>
    </row>
    <row r="11" spans="1:3">
      <c r="A11" s="4" t="s">
        <v>8226</v>
      </c>
      <c r="B11" s="4" t="s">
        <v>8233</v>
      </c>
      <c r="C11" s="4" t="s">
        <v>8240</v>
      </c>
    </row>
    <row r="12" spans="1:3">
      <c r="A12" s="4" t="s">
        <v>8227</v>
      </c>
      <c r="B12" s="4" t="s">
        <v>8234</v>
      </c>
      <c r="C12" s="4" t="s">
        <v>8239</v>
      </c>
    </row>
    <row r="13" spans="1:3">
      <c r="A13" s="4" t="s">
        <v>8228</v>
      </c>
      <c r="B13" s="4" t="s">
        <v>3961</v>
      </c>
      <c r="C13" s="4" t="s">
        <v>8238</v>
      </c>
    </row>
    <row r="14" spans="1:3">
      <c r="A14" s="4" t="s">
        <v>8229</v>
      </c>
      <c r="B14" s="4" t="s">
        <v>7257</v>
      </c>
      <c r="C14" s="4" t="s">
        <v>8248</v>
      </c>
    </row>
    <row r="15" spans="1:3">
      <c r="A15" s="4" t="s">
        <v>8230</v>
      </c>
      <c r="B15" s="4" t="s">
        <v>8235</v>
      </c>
      <c r="C15" s="4" t="s">
        <v>2116</v>
      </c>
    </row>
    <row r="16" spans="1:3">
      <c r="A16" s="4" t="s">
        <v>8231</v>
      </c>
      <c r="B16" s="4" t="s">
        <v>8236</v>
      </c>
      <c r="C16" s="4" t="s">
        <v>8242</v>
      </c>
    </row>
    <row r="17" spans="1:3">
      <c r="A17" s="4" t="s">
        <v>8232</v>
      </c>
      <c r="B17" s="4" t="s">
        <v>8237</v>
      </c>
      <c r="C17" s="4" t="s">
        <v>2094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EB1C5-246F-41BE-A70F-2619A82395EB}">
  <dimension ref="A1:C17"/>
  <sheetViews>
    <sheetView workbookViewId="0">
      <selection activeCell="A9" sqref="A9"/>
    </sheetView>
  </sheetViews>
  <sheetFormatPr defaultRowHeight="15"/>
  <cols>
    <col min="1" max="1" width="21.140625" style="4" customWidth="1"/>
    <col min="2" max="2" width="9.140625" style="4"/>
    <col min="3" max="3" width="31" style="4" customWidth="1"/>
  </cols>
  <sheetData>
    <row r="1" spans="1:3">
      <c r="A1" s="4" t="s">
        <v>8217</v>
      </c>
      <c r="B1" s="4" t="s">
        <v>2111</v>
      </c>
    </row>
    <row r="2" spans="1:3">
      <c r="A2" s="4" t="s">
        <v>8218</v>
      </c>
      <c r="B2" s="4" t="s">
        <v>2114</v>
      </c>
      <c r="C2" s="4" t="s">
        <v>8253</v>
      </c>
    </row>
    <row r="3" spans="1:3">
      <c r="A3" s="4" t="s">
        <v>8219</v>
      </c>
      <c r="B3" s="4" t="s">
        <v>2099</v>
      </c>
    </row>
    <row r="4" spans="1:3">
      <c r="A4" s="4" t="s">
        <v>8220</v>
      </c>
      <c r="B4" s="4" t="s">
        <v>2108</v>
      </c>
      <c r="C4" s="4" t="s">
        <v>8254</v>
      </c>
    </row>
    <row r="5" spans="1:3">
      <c r="A5" s="4" t="s">
        <v>8221</v>
      </c>
      <c r="B5" s="4" t="s">
        <v>2102</v>
      </c>
    </row>
    <row r="6" spans="1:3">
      <c r="A6" s="4" t="s">
        <v>8222</v>
      </c>
      <c r="B6" s="4" t="s">
        <v>2105</v>
      </c>
      <c r="C6" s="4" t="s">
        <v>8252</v>
      </c>
    </row>
    <row r="7" spans="1:3">
      <c r="A7" s="4" t="s">
        <v>8223</v>
      </c>
      <c r="B7" s="4" t="s">
        <v>8215</v>
      </c>
    </row>
    <row r="8" spans="1:3">
      <c r="A8" s="4" t="s">
        <v>8224</v>
      </c>
      <c r="B8" s="4" t="s">
        <v>8216</v>
      </c>
      <c r="C8" s="4" t="s">
        <v>8263</v>
      </c>
    </row>
    <row r="10" spans="1:3">
      <c r="A10" s="4" t="s">
        <v>8225</v>
      </c>
      <c r="B10" s="4" t="s">
        <v>7206</v>
      </c>
    </row>
    <row r="11" spans="1:3">
      <c r="A11" s="4" t="s">
        <v>8226</v>
      </c>
      <c r="B11" s="4" t="s">
        <v>8233</v>
      </c>
      <c r="C11" s="4" t="s">
        <v>8251</v>
      </c>
    </row>
    <row r="12" spans="1:3">
      <c r="A12" s="4" t="s">
        <v>8227</v>
      </c>
      <c r="B12" s="4" t="s">
        <v>8234</v>
      </c>
    </row>
    <row r="13" spans="1:3">
      <c r="A13" s="4" t="s">
        <v>8228</v>
      </c>
      <c r="B13" s="4" t="s">
        <v>3961</v>
      </c>
    </row>
    <row r="14" spans="1:3">
      <c r="A14" s="4" t="s">
        <v>8229</v>
      </c>
      <c r="B14" s="4" t="s">
        <v>7257</v>
      </c>
    </row>
    <row r="15" spans="1:3">
      <c r="A15" s="4" t="s">
        <v>8230</v>
      </c>
      <c r="B15" s="4" t="s">
        <v>8235</v>
      </c>
    </row>
    <row r="16" spans="1:3">
      <c r="A16" s="4" t="s">
        <v>8231</v>
      </c>
      <c r="B16" s="4" t="s">
        <v>8236</v>
      </c>
    </row>
    <row r="17" spans="1:2">
      <c r="A17" s="4" t="s">
        <v>8232</v>
      </c>
      <c r="B17" s="4" t="s">
        <v>8237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11473-54F4-4A6F-953A-89AB3BF19AA5}">
  <dimension ref="A1:M133"/>
  <sheetViews>
    <sheetView topLeftCell="B26" workbookViewId="0">
      <selection activeCell="I16" sqref="I16"/>
    </sheetView>
  </sheetViews>
  <sheetFormatPr defaultRowHeight="15"/>
  <cols>
    <col min="1" max="1" width="2.7109375" hidden="1" customWidth="1"/>
    <col min="3" max="3" width="4.140625" hidden="1" customWidth="1"/>
    <col min="5" max="5" width="3.85546875" style="4" hidden="1" customWidth="1"/>
    <col min="6" max="6" width="0" style="4" hidden="1" customWidth="1"/>
    <col min="7" max="7" width="7.140625" style="4" hidden="1" customWidth="1"/>
    <col min="8" max="8" width="34.42578125" style="4" customWidth="1"/>
    <col min="9" max="9" width="33.28515625" style="4" customWidth="1"/>
    <col min="10" max="10" width="49.140625" style="4" customWidth="1"/>
    <col min="11" max="11" width="45.140625" style="4" customWidth="1"/>
    <col min="12" max="12" width="41.28515625" style="4" customWidth="1"/>
    <col min="13" max="13" width="41.42578125" style="4" customWidth="1"/>
    <col min="14" max="14" width="40.7109375" customWidth="1"/>
  </cols>
  <sheetData>
    <row r="1" spans="1:13">
      <c r="B1" t="s">
        <v>7997</v>
      </c>
      <c r="D1" t="s">
        <v>7996</v>
      </c>
      <c r="I1" s="4" t="s">
        <v>7986</v>
      </c>
      <c r="J1" s="4" t="s">
        <v>7987</v>
      </c>
      <c r="K1" s="4" t="s">
        <v>7988</v>
      </c>
      <c r="L1" s="4" t="s">
        <v>7957</v>
      </c>
    </row>
    <row r="2" spans="1:13">
      <c r="A2">
        <f>HEX2DEC(E2)</f>
        <v>669136</v>
      </c>
      <c r="B2" t="str">
        <f>DEC2HEX(A2)</f>
        <v>A35D0</v>
      </c>
      <c r="C2">
        <v>0</v>
      </c>
      <c r="D2" t="str">
        <f>DEC2HEX(C2)</f>
        <v>0</v>
      </c>
      <c r="E2" s="4" t="s">
        <v>7938</v>
      </c>
      <c r="G2" s="4" t="s">
        <v>521</v>
      </c>
      <c r="H2" s="4" t="s">
        <v>1343</v>
      </c>
      <c r="I2" s="4" t="s">
        <v>124</v>
      </c>
      <c r="J2" s="4" t="s">
        <v>124</v>
      </c>
      <c r="K2" s="4" t="s">
        <v>124</v>
      </c>
      <c r="L2" s="4" t="s">
        <v>124</v>
      </c>
      <c r="M2" s="4" t="s">
        <v>1343</v>
      </c>
    </row>
    <row r="3" spans="1:13">
      <c r="A3">
        <f>A2+8</f>
        <v>669144</v>
      </c>
      <c r="B3" t="str">
        <f t="shared" ref="B3:B66" si="0">DEC2HEX(A3)</f>
        <v>A35D8</v>
      </c>
      <c r="C3">
        <f>A3-$A$2</f>
        <v>8</v>
      </c>
      <c r="D3" t="str">
        <f t="shared" ref="D3:D66" si="1">DEC2HEX(C3)</f>
        <v>8</v>
      </c>
      <c r="E3" s="4" t="s">
        <v>7941</v>
      </c>
      <c r="G3" s="4" t="s">
        <v>551</v>
      </c>
      <c r="H3" s="4" t="s">
        <v>7948</v>
      </c>
      <c r="I3" s="4" t="s">
        <v>7952</v>
      </c>
      <c r="J3" s="4" t="s">
        <v>7949</v>
      </c>
      <c r="K3" s="4" t="s">
        <v>7950</v>
      </c>
    </row>
    <row r="4" spans="1:13">
      <c r="A4">
        <f t="shared" ref="A4:A27" si="2">A3+8</f>
        <v>669152</v>
      </c>
      <c r="B4" t="str">
        <f t="shared" si="0"/>
        <v>A35E0</v>
      </c>
      <c r="C4">
        <f t="shared" ref="C4:C67" si="3">A4-$A$2</f>
        <v>16</v>
      </c>
      <c r="D4" t="str">
        <f t="shared" si="1"/>
        <v>10</v>
      </c>
      <c r="E4" s="4" t="s">
        <v>7942</v>
      </c>
      <c r="G4" s="4" t="s">
        <v>575</v>
      </c>
      <c r="H4" s="4" t="s">
        <v>7951</v>
      </c>
      <c r="I4" s="4" t="s">
        <v>7953</v>
      </c>
      <c r="J4" s="4" t="s">
        <v>7954</v>
      </c>
    </row>
    <row r="5" spans="1:13">
      <c r="A5">
        <f t="shared" si="2"/>
        <v>669160</v>
      </c>
      <c r="B5" t="str">
        <f t="shared" si="0"/>
        <v>A35E8</v>
      </c>
      <c r="C5">
        <f t="shared" si="3"/>
        <v>24</v>
      </c>
      <c r="D5" t="str">
        <f t="shared" si="1"/>
        <v>18</v>
      </c>
      <c r="E5" s="4" t="s">
        <v>7946</v>
      </c>
      <c r="G5" s="4" t="s">
        <v>601</v>
      </c>
      <c r="H5" s="4" t="s">
        <v>7955</v>
      </c>
    </row>
    <row r="6" spans="1:13">
      <c r="A6">
        <f t="shared" si="2"/>
        <v>669168</v>
      </c>
      <c r="B6" t="str">
        <f t="shared" si="0"/>
        <v>A35F0</v>
      </c>
      <c r="C6">
        <f t="shared" si="3"/>
        <v>32</v>
      </c>
      <c r="D6" t="str">
        <f t="shared" si="1"/>
        <v>20</v>
      </c>
      <c r="E6" s="4" t="s">
        <v>7943</v>
      </c>
      <c r="G6" s="4" t="s">
        <v>626</v>
      </c>
      <c r="H6" s="4" t="s">
        <v>808</v>
      </c>
      <c r="J6" s="4" t="s">
        <v>8019</v>
      </c>
      <c r="K6" s="4" t="s">
        <v>7956</v>
      </c>
    </row>
    <row r="7" spans="1:13">
      <c r="A7">
        <f t="shared" si="2"/>
        <v>669176</v>
      </c>
      <c r="B7" t="str">
        <f t="shared" si="0"/>
        <v>A35F8</v>
      </c>
      <c r="C7">
        <f t="shared" si="3"/>
        <v>40</v>
      </c>
      <c r="D7" t="str">
        <f t="shared" si="1"/>
        <v>28</v>
      </c>
      <c r="E7" s="4" t="s">
        <v>7947</v>
      </c>
      <c r="G7" s="4" t="s">
        <v>653</v>
      </c>
      <c r="H7" s="4" t="s">
        <v>7962</v>
      </c>
      <c r="I7" s="4" t="s">
        <v>7958</v>
      </c>
    </row>
    <row r="8" spans="1:13">
      <c r="A8">
        <f t="shared" si="2"/>
        <v>669184</v>
      </c>
      <c r="B8" t="str">
        <f t="shared" si="0"/>
        <v>A3600</v>
      </c>
      <c r="C8">
        <f t="shared" si="3"/>
        <v>48</v>
      </c>
      <c r="D8" t="str">
        <f t="shared" si="1"/>
        <v>30</v>
      </c>
      <c r="E8" s="4" t="s">
        <v>7945</v>
      </c>
      <c r="G8" s="4" t="s">
        <v>665</v>
      </c>
      <c r="H8" s="4" t="s">
        <v>7963</v>
      </c>
    </row>
    <row r="9" spans="1:13">
      <c r="A9">
        <f t="shared" si="2"/>
        <v>669192</v>
      </c>
      <c r="B9" t="str">
        <f t="shared" si="0"/>
        <v>A3608</v>
      </c>
      <c r="C9">
        <f t="shared" si="3"/>
        <v>56</v>
      </c>
      <c r="D9" t="str">
        <f t="shared" si="1"/>
        <v>38</v>
      </c>
      <c r="E9" s="4" t="s">
        <v>7959</v>
      </c>
      <c r="G9" s="4" t="s">
        <v>685</v>
      </c>
      <c r="H9" s="4" t="s">
        <v>7964</v>
      </c>
    </row>
    <row r="10" spans="1:13">
      <c r="A10">
        <f t="shared" si="2"/>
        <v>669200</v>
      </c>
      <c r="B10" t="str">
        <f t="shared" si="0"/>
        <v>A3610</v>
      </c>
      <c r="C10">
        <f t="shared" si="3"/>
        <v>64</v>
      </c>
      <c r="D10" t="str">
        <f t="shared" si="1"/>
        <v>40</v>
      </c>
      <c r="E10" s="4" t="s">
        <v>7944</v>
      </c>
      <c r="G10" s="4" t="s">
        <v>1302</v>
      </c>
      <c r="H10" s="4" t="s">
        <v>7965</v>
      </c>
    </row>
    <row r="11" spans="1:13">
      <c r="A11">
        <f t="shared" si="2"/>
        <v>669208</v>
      </c>
      <c r="B11" t="str">
        <f t="shared" si="0"/>
        <v>A3618</v>
      </c>
      <c r="C11">
        <f t="shared" si="3"/>
        <v>72</v>
      </c>
      <c r="D11" t="str">
        <f t="shared" si="1"/>
        <v>48</v>
      </c>
      <c r="E11" s="4" t="s">
        <v>7960</v>
      </c>
      <c r="G11" s="4" t="s">
        <v>2514</v>
      </c>
      <c r="H11" s="4" t="s">
        <v>7966</v>
      </c>
    </row>
    <row r="12" spans="1:13">
      <c r="A12">
        <f t="shared" si="2"/>
        <v>669216</v>
      </c>
      <c r="B12" t="str">
        <f t="shared" si="0"/>
        <v>A3620</v>
      </c>
      <c r="C12">
        <f t="shared" si="3"/>
        <v>80</v>
      </c>
      <c r="D12" t="str">
        <f t="shared" si="1"/>
        <v>50</v>
      </c>
      <c r="E12" s="4" t="s">
        <v>7961</v>
      </c>
      <c r="G12" s="4" t="s">
        <v>2594</v>
      </c>
      <c r="H12" s="4" t="s">
        <v>7967</v>
      </c>
    </row>
    <row r="13" spans="1:13">
      <c r="A13">
        <f t="shared" si="2"/>
        <v>669224</v>
      </c>
      <c r="B13" t="str">
        <f t="shared" si="0"/>
        <v>A3628</v>
      </c>
      <c r="C13">
        <f t="shared" si="3"/>
        <v>88</v>
      </c>
      <c r="D13" t="str">
        <f t="shared" si="1"/>
        <v>58</v>
      </c>
      <c r="E13" s="4" t="s">
        <v>7978</v>
      </c>
      <c r="G13" s="4" t="s">
        <v>2600</v>
      </c>
      <c r="H13" s="4" t="s">
        <v>7968</v>
      </c>
    </row>
    <row r="14" spans="1:13">
      <c r="A14">
        <f t="shared" si="2"/>
        <v>669232</v>
      </c>
      <c r="B14" t="str">
        <f t="shared" si="0"/>
        <v>A3630</v>
      </c>
      <c r="C14">
        <f t="shared" si="3"/>
        <v>96</v>
      </c>
      <c r="D14" t="str">
        <f t="shared" si="1"/>
        <v>60</v>
      </c>
      <c r="E14" s="4" t="s">
        <v>7979</v>
      </c>
      <c r="G14" s="4" t="s">
        <v>2802</v>
      </c>
      <c r="H14" s="4" t="s">
        <v>7969</v>
      </c>
    </row>
    <row r="15" spans="1:13">
      <c r="A15">
        <f>A14+8</f>
        <v>669240</v>
      </c>
      <c r="B15" t="str">
        <f t="shared" si="0"/>
        <v>A3638</v>
      </c>
      <c r="C15">
        <f t="shared" si="3"/>
        <v>104</v>
      </c>
      <c r="D15" t="str">
        <f t="shared" si="1"/>
        <v>68</v>
      </c>
      <c r="G15" s="4" t="s">
        <v>2808</v>
      </c>
      <c r="H15" s="4" t="s">
        <v>7970</v>
      </c>
    </row>
    <row r="16" spans="1:13">
      <c r="A16">
        <f t="shared" si="2"/>
        <v>669248</v>
      </c>
      <c r="B16" t="str">
        <f t="shared" si="0"/>
        <v>A3640</v>
      </c>
      <c r="C16">
        <f t="shared" si="3"/>
        <v>112</v>
      </c>
      <c r="D16" t="str">
        <f t="shared" si="1"/>
        <v>70</v>
      </c>
      <c r="E16" s="4" t="s">
        <v>7980</v>
      </c>
      <c r="G16" s="4" t="s">
        <v>2813</v>
      </c>
      <c r="H16" s="4" t="s">
        <v>7971</v>
      </c>
    </row>
    <row r="17" spans="1:9">
      <c r="A17">
        <f t="shared" si="2"/>
        <v>669256</v>
      </c>
      <c r="B17" t="str">
        <f t="shared" si="0"/>
        <v>A3648</v>
      </c>
      <c r="C17">
        <f t="shared" si="3"/>
        <v>120</v>
      </c>
      <c r="D17" t="str">
        <f t="shared" si="1"/>
        <v>78</v>
      </c>
      <c r="G17" s="4" t="s">
        <v>2522</v>
      </c>
      <c r="H17" s="4" t="s">
        <v>7972</v>
      </c>
    </row>
    <row r="18" spans="1:9">
      <c r="A18">
        <f t="shared" si="2"/>
        <v>669264</v>
      </c>
      <c r="B18" t="str">
        <f t="shared" si="0"/>
        <v>A3650</v>
      </c>
      <c r="C18">
        <f t="shared" si="3"/>
        <v>128</v>
      </c>
      <c r="D18" t="str">
        <f t="shared" si="1"/>
        <v>80</v>
      </c>
      <c r="E18" s="4" t="s">
        <v>7981</v>
      </c>
      <c r="G18" s="4" t="s">
        <v>2824</v>
      </c>
      <c r="H18" s="4" t="s">
        <v>7973</v>
      </c>
    </row>
    <row r="19" spans="1:9">
      <c r="A19">
        <f t="shared" si="2"/>
        <v>669272</v>
      </c>
      <c r="B19" t="str">
        <f t="shared" si="0"/>
        <v>A3658</v>
      </c>
      <c r="C19">
        <f t="shared" si="3"/>
        <v>136</v>
      </c>
      <c r="D19" t="str">
        <f t="shared" si="1"/>
        <v>88</v>
      </c>
      <c r="E19" s="4" t="s">
        <v>7984</v>
      </c>
      <c r="G19" s="4" t="s">
        <v>2830</v>
      </c>
      <c r="H19" s="4" t="s">
        <v>7974</v>
      </c>
    </row>
    <row r="20" spans="1:9">
      <c r="A20">
        <f t="shared" si="2"/>
        <v>669280</v>
      </c>
      <c r="B20" t="str">
        <f t="shared" si="0"/>
        <v>A3660</v>
      </c>
      <c r="C20">
        <f t="shared" si="3"/>
        <v>144</v>
      </c>
      <c r="D20" t="str">
        <f t="shared" si="1"/>
        <v>90</v>
      </c>
      <c r="E20" s="4" t="s">
        <v>7982</v>
      </c>
      <c r="G20" s="4" t="s">
        <v>2845</v>
      </c>
      <c r="H20" s="4" t="s">
        <v>7975</v>
      </c>
    </row>
    <row r="21" spans="1:9">
      <c r="A21">
        <f t="shared" si="2"/>
        <v>669288</v>
      </c>
      <c r="B21" t="str">
        <f t="shared" si="0"/>
        <v>A3668</v>
      </c>
      <c r="C21">
        <f t="shared" si="3"/>
        <v>152</v>
      </c>
      <c r="D21" t="str">
        <f t="shared" si="1"/>
        <v>98</v>
      </c>
      <c r="G21" s="4" t="s">
        <v>7985</v>
      </c>
      <c r="H21" s="4" t="s">
        <v>7976</v>
      </c>
    </row>
    <row r="22" spans="1:9">
      <c r="A22">
        <f t="shared" si="2"/>
        <v>669296</v>
      </c>
      <c r="B22" t="str">
        <f t="shared" si="0"/>
        <v>A3670</v>
      </c>
      <c r="C22">
        <f t="shared" si="3"/>
        <v>160</v>
      </c>
      <c r="D22" t="str">
        <f t="shared" si="1"/>
        <v>A0</v>
      </c>
      <c r="E22" s="4" t="s">
        <v>7983</v>
      </c>
      <c r="G22" s="4" t="s">
        <v>3042</v>
      </c>
      <c r="H22" s="4" t="s">
        <v>7977</v>
      </c>
    </row>
    <row r="23" spans="1:9">
      <c r="A23">
        <f>A22+8</f>
        <v>669304</v>
      </c>
      <c r="B23" t="str">
        <f t="shared" si="0"/>
        <v>A3678</v>
      </c>
      <c r="C23">
        <f t="shared" si="3"/>
        <v>168</v>
      </c>
      <c r="D23" t="str">
        <f t="shared" si="1"/>
        <v>A8</v>
      </c>
      <c r="H23" s="4" t="s">
        <v>7989</v>
      </c>
    </row>
    <row r="24" spans="1:9">
      <c r="A24">
        <f t="shared" si="2"/>
        <v>669312</v>
      </c>
      <c r="B24" t="str">
        <f t="shared" si="0"/>
        <v>A3680</v>
      </c>
      <c r="C24">
        <f t="shared" si="3"/>
        <v>176</v>
      </c>
      <c r="D24" t="str">
        <f t="shared" si="1"/>
        <v>B0</v>
      </c>
      <c r="G24" s="4" t="s">
        <v>3062</v>
      </c>
      <c r="H24" s="4" t="s">
        <v>7990</v>
      </c>
    </row>
    <row r="25" spans="1:9">
      <c r="A25">
        <f t="shared" si="2"/>
        <v>669320</v>
      </c>
      <c r="B25" t="str">
        <f t="shared" si="0"/>
        <v>A3688</v>
      </c>
      <c r="C25">
        <f t="shared" si="3"/>
        <v>184</v>
      </c>
      <c r="D25" t="str">
        <f t="shared" si="1"/>
        <v>B8</v>
      </c>
      <c r="H25" s="4" t="s">
        <v>7991</v>
      </c>
    </row>
    <row r="26" spans="1:9">
      <c r="A26">
        <f t="shared" si="2"/>
        <v>669328</v>
      </c>
      <c r="B26" t="str">
        <f t="shared" si="0"/>
        <v>A3690</v>
      </c>
      <c r="C26">
        <f t="shared" si="3"/>
        <v>192</v>
      </c>
      <c r="D26" t="str">
        <f t="shared" si="1"/>
        <v>C0</v>
      </c>
      <c r="G26" s="4" t="s">
        <v>7993</v>
      </c>
      <c r="H26" s="4" t="s">
        <v>7992</v>
      </c>
    </row>
    <row r="27" spans="1:9">
      <c r="A27">
        <f t="shared" si="2"/>
        <v>669336</v>
      </c>
      <c r="B27" t="str">
        <f t="shared" si="0"/>
        <v>A3698</v>
      </c>
      <c r="C27">
        <f t="shared" si="3"/>
        <v>200</v>
      </c>
      <c r="D27" t="str">
        <f t="shared" si="1"/>
        <v>C8</v>
      </c>
      <c r="E27" s="91" t="s">
        <v>7994</v>
      </c>
      <c r="F27" s="91"/>
      <c r="G27" s="91" t="s">
        <v>3070</v>
      </c>
      <c r="H27" s="91" t="s">
        <v>7948</v>
      </c>
      <c r="I27" s="4" t="s">
        <v>7995</v>
      </c>
    </row>
    <row r="28" spans="1:9">
      <c r="A28">
        <f>A27+4</f>
        <v>669340</v>
      </c>
      <c r="B28" t="str">
        <f t="shared" si="0"/>
        <v>A369C</v>
      </c>
      <c r="C28">
        <f t="shared" si="3"/>
        <v>204</v>
      </c>
      <c r="D28" t="str">
        <f t="shared" si="1"/>
        <v>CC</v>
      </c>
      <c r="G28" s="4" t="s">
        <v>3072</v>
      </c>
      <c r="H28" s="4" t="s">
        <v>7951</v>
      </c>
    </row>
    <row r="29" spans="1:9">
      <c r="A29">
        <f>A28+4</f>
        <v>669344</v>
      </c>
      <c r="B29" t="str">
        <f t="shared" si="0"/>
        <v>A36A0</v>
      </c>
      <c r="C29">
        <f t="shared" si="3"/>
        <v>208</v>
      </c>
      <c r="D29" t="str">
        <f t="shared" si="1"/>
        <v>D0</v>
      </c>
      <c r="G29" s="4" t="s">
        <v>3084</v>
      </c>
      <c r="H29" s="4" t="s">
        <v>7955</v>
      </c>
    </row>
    <row r="30" spans="1:9">
      <c r="A30">
        <f t="shared" ref="A30:A93" si="4">A29+4</f>
        <v>669348</v>
      </c>
      <c r="B30" t="str">
        <f t="shared" si="0"/>
        <v>A36A4</v>
      </c>
      <c r="C30">
        <f t="shared" si="3"/>
        <v>212</v>
      </c>
      <c r="D30" t="str">
        <f t="shared" si="1"/>
        <v>D4</v>
      </c>
      <c r="H30" s="4" t="s">
        <v>7963</v>
      </c>
    </row>
    <row r="31" spans="1:9">
      <c r="A31">
        <f t="shared" si="4"/>
        <v>669352</v>
      </c>
      <c r="B31" t="str">
        <f t="shared" si="0"/>
        <v>A36A8</v>
      </c>
      <c r="C31">
        <f t="shared" si="3"/>
        <v>216</v>
      </c>
      <c r="D31" t="str">
        <f t="shared" si="1"/>
        <v>D8</v>
      </c>
      <c r="H31" s="4" t="s">
        <v>7964</v>
      </c>
    </row>
    <row r="32" spans="1:9">
      <c r="A32">
        <f t="shared" si="4"/>
        <v>669356</v>
      </c>
      <c r="B32" t="str">
        <f t="shared" si="0"/>
        <v>A36AC</v>
      </c>
      <c r="C32">
        <f t="shared" si="3"/>
        <v>220</v>
      </c>
      <c r="D32" t="str">
        <f t="shared" si="1"/>
        <v>DC</v>
      </c>
      <c r="H32" s="4" t="s">
        <v>7965</v>
      </c>
    </row>
    <row r="33" spans="1:10">
      <c r="A33">
        <f t="shared" si="4"/>
        <v>669360</v>
      </c>
      <c r="B33" t="str">
        <f t="shared" si="0"/>
        <v>A36B0</v>
      </c>
      <c r="C33">
        <f t="shared" si="3"/>
        <v>224</v>
      </c>
      <c r="D33" t="str">
        <f t="shared" si="1"/>
        <v>E0</v>
      </c>
      <c r="H33" s="4" t="s">
        <v>7966</v>
      </c>
    </row>
    <row r="34" spans="1:10">
      <c r="A34">
        <f t="shared" si="4"/>
        <v>669364</v>
      </c>
      <c r="B34" t="str">
        <f t="shared" si="0"/>
        <v>A36B4</v>
      </c>
      <c r="C34">
        <f t="shared" si="3"/>
        <v>228</v>
      </c>
      <c r="D34" t="str">
        <f t="shared" si="1"/>
        <v>E4</v>
      </c>
      <c r="H34" s="4" t="s">
        <v>7967</v>
      </c>
    </row>
    <row r="35" spans="1:10">
      <c r="A35">
        <f t="shared" si="4"/>
        <v>669368</v>
      </c>
      <c r="B35" t="str">
        <f t="shared" si="0"/>
        <v>A36B8</v>
      </c>
      <c r="C35">
        <f t="shared" si="3"/>
        <v>232</v>
      </c>
      <c r="D35" t="str">
        <f t="shared" si="1"/>
        <v>E8</v>
      </c>
      <c r="H35" s="4" t="s">
        <v>7968</v>
      </c>
    </row>
    <row r="36" spans="1:10">
      <c r="A36">
        <f t="shared" si="4"/>
        <v>669372</v>
      </c>
      <c r="B36" t="str">
        <f t="shared" si="0"/>
        <v>A36BC</v>
      </c>
      <c r="C36">
        <f t="shared" si="3"/>
        <v>236</v>
      </c>
      <c r="D36" t="str">
        <f t="shared" si="1"/>
        <v>EC</v>
      </c>
      <c r="H36" s="4" t="s">
        <v>7969</v>
      </c>
    </row>
    <row r="37" spans="1:10">
      <c r="A37">
        <f t="shared" si="4"/>
        <v>669376</v>
      </c>
      <c r="B37" t="str">
        <f t="shared" si="0"/>
        <v>A36C0</v>
      </c>
      <c r="C37">
        <f t="shared" si="3"/>
        <v>240</v>
      </c>
      <c r="D37" t="str">
        <f t="shared" si="1"/>
        <v>F0</v>
      </c>
      <c r="H37" s="4" t="s">
        <v>7970</v>
      </c>
    </row>
    <row r="38" spans="1:10">
      <c r="A38">
        <f t="shared" si="4"/>
        <v>669380</v>
      </c>
      <c r="B38" t="str">
        <f t="shared" si="0"/>
        <v>A36C4</v>
      </c>
      <c r="C38">
        <f t="shared" si="3"/>
        <v>244</v>
      </c>
      <c r="D38" t="str">
        <f t="shared" si="1"/>
        <v>F4</v>
      </c>
      <c r="H38" s="4" t="s">
        <v>7971</v>
      </c>
    </row>
    <row r="39" spans="1:10">
      <c r="A39">
        <f t="shared" si="4"/>
        <v>669384</v>
      </c>
      <c r="B39" t="str">
        <f t="shared" si="0"/>
        <v>A36C8</v>
      </c>
      <c r="C39">
        <f t="shared" si="3"/>
        <v>248</v>
      </c>
      <c r="D39" t="str">
        <f t="shared" si="1"/>
        <v>F8</v>
      </c>
      <c r="H39" s="4" t="s">
        <v>7972</v>
      </c>
    </row>
    <row r="40" spans="1:10">
      <c r="A40">
        <f t="shared" si="4"/>
        <v>669388</v>
      </c>
      <c r="B40" t="str">
        <f t="shared" si="0"/>
        <v>A36CC</v>
      </c>
      <c r="C40">
        <f t="shared" si="3"/>
        <v>252</v>
      </c>
      <c r="D40" t="str">
        <f t="shared" si="1"/>
        <v>FC</v>
      </c>
      <c r="H40" s="4" t="s">
        <v>7973</v>
      </c>
    </row>
    <row r="41" spans="1:10">
      <c r="A41">
        <f t="shared" si="4"/>
        <v>669392</v>
      </c>
      <c r="B41" t="str">
        <f t="shared" si="0"/>
        <v>A36D0</v>
      </c>
      <c r="C41">
        <f t="shared" si="3"/>
        <v>256</v>
      </c>
      <c r="D41" t="str">
        <f t="shared" si="1"/>
        <v>100</v>
      </c>
      <c r="H41" s="4" t="s">
        <v>7974</v>
      </c>
    </row>
    <row r="42" spans="1:10">
      <c r="A42">
        <f t="shared" si="4"/>
        <v>669396</v>
      </c>
      <c r="B42" t="str">
        <f t="shared" si="0"/>
        <v>A36D4</v>
      </c>
      <c r="C42">
        <f t="shared" si="3"/>
        <v>260</v>
      </c>
      <c r="D42" t="str">
        <f t="shared" si="1"/>
        <v>104</v>
      </c>
      <c r="H42" s="4" t="s">
        <v>7975</v>
      </c>
    </row>
    <row r="43" spans="1:10">
      <c r="A43">
        <f t="shared" si="4"/>
        <v>669400</v>
      </c>
      <c r="B43" t="str">
        <f t="shared" si="0"/>
        <v>A36D8</v>
      </c>
      <c r="C43">
        <f t="shared" si="3"/>
        <v>264</v>
      </c>
      <c r="D43" t="str">
        <f t="shared" si="1"/>
        <v>108</v>
      </c>
      <c r="H43" s="4" t="s">
        <v>7976</v>
      </c>
    </row>
    <row r="44" spans="1:10">
      <c r="A44">
        <f t="shared" si="4"/>
        <v>669404</v>
      </c>
      <c r="B44" t="str">
        <f t="shared" si="0"/>
        <v>A36DC</v>
      </c>
      <c r="C44">
        <f t="shared" si="3"/>
        <v>268</v>
      </c>
      <c r="D44" t="str">
        <f t="shared" si="1"/>
        <v>10C</v>
      </c>
    </row>
    <row r="45" spans="1:10">
      <c r="A45">
        <f t="shared" si="4"/>
        <v>669408</v>
      </c>
      <c r="B45" t="str">
        <f t="shared" si="0"/>
        <v>A36E0</v>
      </c>
      <c r="C45">
        <f t="shared" si="3"/>
        <v>272</v>
      </c>
      <c r="D45" t="str">
        <f t="shared" si="1"/>
        <v>110</v>
      </c>
      <c r="H45" s="4" t="s">
        <v>7951</v>
      </c>
      <c r="I45" s="4" t="s">
        <v>8016</v>
      </c>
      <c r="J45" s="4" t="s">
        <v>8021</v>
      </c>
    </row>
    <row r="46" spans="1:10">
      <c r="A46">
        <f t="shared" si="4"/>
        <v>669412</v>
      </c>
      <c r="B46" t="str">
        <f t="shared" si="0"/>
        <v>A36E4</v>
      </c>
      <c r="C46">
        <f t="shared" si="3"/>
        <v>276</v>
      </c>
      <c r="D46" t="str">
        <f t="shared" si="1"/>
        <v>114</v>
      </c>
      <c r="H46" s="4" t="s">
        <v>8020</v>
      </c>
      <c r="I46" s="4" t="s">
        <v>8016</v>
      </c>
      <c r="J46" s="4" t="s">
        <v>8021</v>
      </c>
    </row>
    <row r="47" spans="1:10">
      <c r="A47">
        <f t="shared" si="4"/>
        <v>669416</v>
      </c>
      <c r="B47" t="str">
        <f t="shared" si="0"/>
        <v>A36E8</v>
      </c>
      <c r="C47">
        <f t="shared" si="3"/>
        <v>280</v>
      </c>
      <c r="D47" t="str">
        <f t="shared" si="1"/>
        <v>118</v>
      </c>
    </row>
    <row r="48" spans="1:10">
      <c r="A48">
        <f t="shared" si="4"/>
        <v>669420</v>
      </c>
      <c r="B48" t="str">
        <f t="shared" si="0"/>
        <v>A36EC</v>
      </c>
      <c r="C48">
        <f t="shared" si="3"/>
        <v>284</v>
      </c>
      <c r="D48" t="str">
        <f t="shared" si="1"/>
        <v>11C</v>
      </c>
    </row>
    <row r="49" spans="1:10">
      <c r="A49">
        <f t="shared" si="4"/>
        <v>669424</v>
      </c>
      <c r="B49" t="str">
        <f t="shared" si="0"/>
        <v>A36F0</v>
      </c>
      <c r="C49">
        <f t="shared" si="3"/>
        <v>288</v>
      </c>
      <c r="D49" t="str">
        <f t="shared" si="1"/>
        <v>120</v>
      </c>
    </row>
    <row r="50" spans="1:10">
      <c r="A50">
        <f t="shared" si="4"/>
        <v>669428</v>
      </c>
      <c r="B50" t="str">
        <f t="shared" si="0"/>
        <v>A36F4</v>
      </c>
      <c r="C50">
        <f t="shared" si="3"/>
        <v>292</v>
      </c>
      <c r="D50" t="str">
        <f t="shared" si="1"/>
        <v>124</v>
      </c>
    </row>
    <row r="51" spans="1:10">
      <c r="A51">
        <f t="shared" si="4"/>
        <v>669432</v>
      </c>
      <c r="B51" t="str">
        <f t="shared" si="0"/>
        <v>A36F8</v>
      </c>
      <c r="C51">
        <f t="shared" si="3"/>
        <v>296</v>
      </c>
      <c r="D51" t="str">
        <f t="shared" si="1"/>
        <v>128</v>
      </c>
    </row>
    <row r="52" spans="1:10">
      <c r="A52">
        <f t="shared" si="4"/>
        <v>669436</v>
      </c>
      <c r="B52" t="str">
        <f t="shared" si="0"/>
        <v>A36FC</v>
      </c>
      <c r="C52">
        <f t="shared" si="3"/>
        <v>300</v>
      </c>
      <c r="D52" t="str">
        <f t="shared" si="1"/>
        <v>12C</v>
      </c>
      <c r="H52" s="4" t="s">
        <v>8023</v>
      </c>
      <c r="I52" s="4" t="s">
        <v>8016</v>
      </c>
      <c r="J52" s="4" t="s">
        <v>8021</v>
      </c>
    </row>
    <row r="53" spans="1:10">
      <c r="A53">
        <f t="shared" si="4"/>
        <v>669440</v>
      </c>
      <c r="B53" t="str">
        <f t="shared" si="0"/>
        <v>A3700</v>
      </c>
      <c r="C53">
        <f t="shared" si="3"/>
        <v>304</v>
      </c>
      <c r="D53" t="str">
        <f t="shared" si="1"/>
        <v>130</v>
      </c>
      <c r="H53" s="4" t="s">
        <v>8022</v>
      </c>
      <c r="I53" s="4" t="s">
        <v>8016</v>
      </c>
      <c r="J53" s="4" t="s">
        <v>8021</v>
      </c>
    </row>
    <row r="54" spans="1:10">
      <c r="A54">
        <f t="shared" si="4"/>
        <v>669444</v>
      </c>
      <c r="B54" t="str">
        <f t="shared" si="0"/>
        <v>A3704</v>
      </c>
      <c r="C54">
        <f t="shared" si="3"/>
        <v>308</v>
      </c>
      <c r="D54" t="str">
        <f t="shared" si="1"/>
        <v>134</v>
      </c>
    </row>
    <row r="55" spans="1:10">
      <c r="A55">
        <f t="shared" si="4"/>
        <v>669448</v>
      </c>
      <c r="B55" t="str">
        <f t="shared" si="0"/>
        <v>A3708</v>
      </c>
      <c r="C55">
        <f t="shared" si="3"/>
        <v>312</v>
      </c>
      <c r="D55" t="str">
        <f t="shared" si="1"/>
        <v>138</v>
      </c>
    </row>
    <row r="56" spans="1:10">
      <c r="A56">
        <f t="shared" si="4"/>
        <v>669452</v>
      </c>
      <c r="B56" t="str">
        <f t="shared" si="0"/>
        <v>A370C</v>
      </c>
      <c r="C56">
        <f t="shared" si="3"/>
        <v>316</v>
      </c>
      <c r="D56" t="str">
        <f t="shared" si="1"/>
        <v>13C</v>
      </c>
    </row>
    <row r="57" spans="1:10">
      <c r="A57">
        <f t="shared" si="4"/>
        <v>669456</v>
      </c>
      <c r="B57" t="str">
        <f t="shared" si="0"/>
        <v>A3710</v>
      </c>
      <c r="C57">
        <f t="shared" si="3"/>
        <v>320</v>
      </c>
      <c r="D57" t="str">
        <f t="shared" si="1"/>
        <v>140</v>
      </c>
      <c r="H57" s="4" t="s">
        <v>8025</v>
      </c>
      <c r="I57" s="4" t="s">
        <v>8016</v>
      </c>
      <c r="J57" s="4" t="s">
        <v>8021</v>
      </c>
    </row>
    <row r="58" spans="1:10">
      <c r="A58">
        <f t="shared" si="4"/>
        <v>669460</v>
      </c>
      <c r="B58" t="str">
        <f t="shared" si="0"/>
        <v>A3714</v>
      </c>
      <c r="C58">
        <f t="shared" si="3"/>
        <v>324</v>
      </c>
      <c r="D58" t="str">
        <f t="shared" si="1"/>
        <v>144</v>
      </c>
    </row>
    <row r="59" spans="1:10">
      <c r="A59">
        <f t="shared" si="4"/>
        <v>669464</v>
      </c>
      <c r="B59" t="str">
        <f t="shared" si="0"/>
        <v>A3718</v>
      </c>
      <c r="C59">
        <f t="shared" si="3"/>
        <v>328</v>
      </c>
      <c r="D59" t="str">
        <f t="shared" si="1"/>
        <v>148</v>
      </c>
    </row>
    <row r="60" spans="1:10">
      <c r="A60">
        <f t="shared" si="4"/>
        <v>669468</v>
      </c>
      <c r="B60" t="str">
        <f t="shared" si="0"/>
        <v>A371C</v>
      </c>
      <c r="C60">
        <f t="shared" si="3"/>
        <v>332</v>
      </c>
      <c r="D60" t="str">
        <f t="shared" si="1"/>
        <v>14C</v>
      </c>
      <c r="H60" s="4" t="s">
        <v>8024</v>
      </c>
      <c r="I60" s="4" t="s">
        <v>8016</v>
      </c>
      <c r="J60" s="4" t="s">
        <v>8021</v>
      </c>
    </row>
    <row r="61" spans="1:10">
      <c r="A61">
        <f t="shared" si="4"/>
        <v>669472</v>
      </c>
      <c r="B61" t="str">
        <f t="shared" si="0"/>
        <v>A3720</v>
      </c>
      <c r="C61">
        <f t="shared" si="3"/>
        <v>336</v>
      </c>
      <c r="D61" t="str">
        <f t="shared" si="1"/>
        <v>150</v>
      </c>
    </row>
    <row r="62" spans="1:10">
      <c r="A62">
        <f t="shared" si="4"/>
        <v>669476</v>
      </c>
      <c r="B62" t="str">
        <f t="shared" si="0"/>
        <v>A3724</v>
      </c>
      <c r="C62">
        <f t="shared" si="3"/>
        <v>340</v>
      </c>
      <c r="D62" t="str">
        <f t="shared" si="1"/>
        <v>154</v>
      </c>
      <c r="H62" s="4" t="s">
        <v>8026</v>
      </c>
    </row>
    <row r="63" spans="1:10">
      <c r="A63">
        <f t="shared" si="4"/>
        <v>669480</v>
      </c>
      <c r="B63" t="str">
        <f t="shared" si="0"/>
        <v>A3728</v>
      </c>
      <c r="C63">
        <f t="shared" si="3"/>
        <v>344</v>
      </c>
      <c r="D63" t="str">
        <f t="shared" si="1"/>
        <v>158</v>
      </c>
    </row>
    <row r="64" spans="1:10">
      <c r="A64">
        <f t="shared" si="4"/>
        <v>669484</v>
      </c>
      <c r="B64" t="str">
        <f t="shared" si="0"/>
        <v>A372C</v>
      </c>
      <c r="C64">
        <f t="shared" si="3"/>
        <v>348</v>
      </c>
      <c r="D64" t="str">
        <f t="shared" si="1"/>
        <v>15C</v>
      </c>
    </row>
    <row r="65" spans="1:10">
      <c r="A65">
        <f t="shared" si="4"/>
        <v>669488</v>
      </c>
      <c r="B65" t="str">
        <f t="shared" si="0"/>
        <v>A3730</v>
      </c>
      <c r="C65">
        <f t="shared" si="3"/>
        <v>352</v>
      </c>
      <c r="D65" t="str">
        <f t="shared" si="1"/>
        <v>160</v>
      </c>
    </row>
    <row r="66" spans="1:10">
      <c r="A66">
        <f t="shared" si="4"/>
        <v>669492</v>
      </c>
      <c r="B66" t="str">
        <f t="shared" si="0"/>
        <v>A3734</v>
      </c>
      <c r="C66">
        <f t="shared" si="3"/>
        <v>356</v>
      </c>
      <c r="D66" t="str">
        <f t="shared" si="1"/>
        <v>164</v>
      </c>
    </row>
    <row r="67" spans="1:10">
      <c r="A67">
        <f t="shared" si="4"/>
        <v>669496</v>
      </c>
      <c r="B67" t="str">
        <f t="shared" ref="B67:B130" si="5">DEC2HEX(A67)</f>
        <v>A3738</v>
      </c>
      <c r="C67">
        <f t="shared" si="3"/>
        <v>360</v>
      </c>
      <c r="D67" t="str">
        <f t="shared" ref="D67:D130" si="6">DEC2HEX(C67)</f>
        <v>168</v>
      </c>
    </row>
    <row r="68" spans="1:10">
      <c r="A68">
        <f t="shared" si="4"/>
        <v>669500</v>
      </c>
      <c r="B68" t="str">
        <f t="shared" si="5"/>
        <v>A373C</v>
      </c>
      <c r="C68">
        <f t="shared" ref="C68:C131" si="7">A68-$A$2</f>
        <v>364</v>
      </c>
      <c r="D68" t="str">
        <f t="shared" si="6"/>
        <v>16C</v>
      </c>
    </row>
    <row r="69" spans="1:10">
      <c r="A69">
        <f t="shared" si="4"/>
        <v>669504</v>
      </c>
      <c r="B69" t="str">
        <f t="shared" si="5"/>
        <v>A3740</v>
      </c>
      <c r="C69">
        <f t="shared" si="7"/>
        <v>368</v>
      </c>
      <c r="D69" t="str">
        <f t="shared" si="6"/>
        <v>170</v>
      </c>
    </row>
    <row r="70" spans="1:10">
      <c r="A70">
        <f t="shared" si="4"/>
        <v>669508</v>
      </c>
      <c r="B70" t="str">
        <f t="shared" si="5"/>
        <v>A3744</v>
      </c>
      <c r="C70">
        <f t="shared" si="7"/>
        <v>372</v>
      </c>
      <c r="D70" t="str">
        <f t="shared" si="6"/>
        <v>174</v>
      </c>
    </row>
    <row r="71" spans="1:10">
      <c r="A71">
        <f t="shared" si="4"/>
        <v>669512</v>
      </c>
      <c r="B71" t="str">
        <f t="shared" si="5"/>
        <v>A3748</v>
      </c>
      <c r="C71">
        <f t="shared" si="7"/>
        <v>376</v>
      </c>
      <c r="D71" t="str">
        <f t="shared" si="6"/>
        <v>178</v>
      </c>
    </row>
    <row r="72" spans="1:10">
      <c r="A72">
        <f t="shared" si="4"/>
        <v>669516</v>
      </c>
      <c r="B72" t="str">
        <f t="shared" si="5"/>
        <v>A374C</v>
      </c>
      <c r="C72">
        <f t="shared" si="7"/>
        <v>380</v>
      </c>
      <c r="D72" t="str">
        <f t="shared" si="6"/>
        <v>17C</v>
      </c>
    </row>
    <row r="73" spans="1:10">
      <c r="A73">
        <f t="shared" si="4"/>
        <v>669520</v>
      </c>
      <c r="B73" t="str">
        <f t="shared" si="5"/>
        <v>A3750</v>
      </c>
      <c r="C73">
        <f t="shared" si="7"/>
        <v>384</v>
      </c>
      <c r="D73" t="str">
        <f t="shared" si="6"/>
        <v>180</v>
      </c>
    </row>
    <row r="74" spans="1:10">
      <c r="A74">
        <f t="shared" si="4"/>
        <v>669524</v>
      </c>
      <c r="B74" t="str">
        <f t="shared" si="5"/>
        <v>A3754</v>
      </c>
      <c r="C74">
        <f t="shared" si="7"/>
        <v>388</v>
      </c>
      <c r="D74" t="str">
        <f t="shared" si="6"/>
        <v>184</v>
      </c>
    </row>
    <row r="75" spans="1:10">
      <c r="A75">
        <f t="shared" si="4"/>
        <v>669528</v>
      </c>
      <c r="B75" t="str">
        <f t="shared" si="5"/>
        <v>A3758</v>
      </c>
      <c r="C75">
        <f t="shared" si="7"/>
        <v>392</v>
      </c>
      <c r="D75" t="str">
        <f t="shared" si="6"/>
        <v>188</v>
      </c>
    </row>
    <row r="76" spans="1:10">
      <c r="A76">
        <f t="shared" si="4"/>
        <v>669532</v>
      </c>
      <c r="B76" t="str">
        <f t="shared" si="5"/>
        <v>A375C</v>
      </c>
      <c r="C76">
        <f t="shared" si="7"/>
        <v>396</v>
      </c>
      <c r="D76" t="str">
        <f t="shared" si="6"/>
        <v>18C</v>
      </c>
    </row>
    <row r="77" spans="1:10">
      <c r="A77">
        <f t="shared" si="4"/>
        <v>669536</v>
      </c>
      <c r="B77" t="str">
        <f t="shared" si="5"/>
        <v>A3760</v>
      </c>
      <c r="C77">
        <f t="shared" si="7"/>
        <v>400</v>
      </c>
      <c r="D77" t="str">
        <f t="shared" si="6"/>
        <v>190</v>
      </c>
    </row>
    <row r="78" spans="1:10">
      <c r="A78">
        <f t="shared" si="4"/>
        <v>669540</v>
      </c>
      <c r="B78" t="str">
        <f t="shared" si="5"/>
        <v>A3764</v>
      </c>
      <c r="C78">
        <f t="shared" si="7"/>
        <v>404</v>
      </c>
      <c r="D78" t="str">
        <f t="shared" si="6"/>
        <v>194</v>
      </c>
    </row>
    <row r="79" spans="1:10">
      <c r="A79">
        <f t="shared" si="4"/>
        <v>669544</v>
      </c>
      <c r="B79" t="str">
        <f t="shared" si="5"/>
        <v>A3768</v>
      </c>
      <c r="C79">
        <f t="shared" si="7"/>
        <v>408</v>
      </c>
      <c r="D79" t="str">
        <f t="shared" si="6"/>
        <v>198</v>
      </c>
      <c r="H79" s="4" t="s">
        <v>8013</v>
      </c>
      <c r="I79" s="4" t="s">
        <v>8017</v>
      </c>
      <c r="J79" s="4" t="s">
        <v>8018</v>
      </c>
    </row>
    <row r="80" spans="1:10">
      <c r="A80">
        <f t="shared" si="4"/>
        <v>669548</v>
      </c>
      <c r="B80" t="str">
        <f t="shared" si="5"/>
        <v>A376C</v>
      </c>
      <c r="C80">
        <f t="shared" si="7"/>
        <v>412</v>
      </c>
      <c r="D80" t="str">
        <f t="shared" si="6"/>
        <v>19C</v>
      </c>
      <c r="H80" s="4" t="s">
        <v>8012</v>
      </c>
      <c r="I80" s="4" t="s">
        <v>8017</v>
      </c>
      <c r="J80" s="4" t="s">
        <v>8018</v>
      </c>
    </row>
    <row r="81" spans="1:10">
      <c r="A81">
        <f t="shared" si="4"/>
        <v>669552</v>
      </c>
      <c r="B81" t="str">
        <f t="shared" si="5"/>
        <v>A3770</v>
      </c>
      <c r="C81">
        <f t="shared" si="7"/>
        <v>416</v>
      </c>
      <c r="D81" t="str">
        <f t="shared" si="6"/>
        <v>1A0</v>
      </c>
      <c r="H81" s="4" t="s">
        <v>8014</v>
      </c>
      <c r="I81" s="4" t="s">
        <v>8017</v>
      </c>
      <c r="J81" s="4" t="s">
        <v>8018</v>
      </c>
    </row>
    <row r="82" spans="1:10">
      <c r="A82">
        <f t="shared" si="4"/>
        <v>669556</v>
      </c>
      <c r="B82" t="str">
        <f t="shared" si="5"/>
        <v>A3774</v>
      </c>
      <c r="C82">
        <f t="shared" si="7"/>
        <v>420</v>
      </c>
      <c r="D82" t="str">
        <f t="shared" si="6"/>
        <v>1A4</v>
      </c>
    </row>
    <row r="83" spans="1:10">
      <c r="A83">
        <f t="shared" si="4"/>
        <v>669560</v>
      </c>
      <c r="B83" t="str">
        <f t="shared" si="5"/>
        <v>A3778</v>
      </c>
      <c r="C83">
        <f t="shared" si="7"/>
        <v>424</v>
      </c>
      <c r="D83" t="str">
        <f t="shared" si="6"/>
        <v>1A8</v>
      </c>
    </row>
    <row r="84" spans="1:10">
      <c r="A84">
        <f t="shared" si="4"/>
        <v>669564</v>
      </c>
      <c r="B84" t="str">
        <f t="shared" si="5"/>
        <v>A377C</v>
      </c>
      <c r="C84">
        <f t="shared" si="7"/>
        <v>428</v>
      </c>
      <c r="D84" t="str">
        <f t="shared" si="6"/>
        <v>1AC</v>
      </c>
      <c r="H84" s="4" t="s">
        <v>8015</v>
      </c>
      <c r="I84" s="4" t="s">
        <v>8017</v>
      </c>
      <c r="J84" s="4" t="s">
        <v>8018</v>
      </c>
    </row>
    <row r="85" spans="1:10">
      <c r="A85">
        <f t="shared" si="4"/>
        <v>669568</v>
      </c>
      <c r="B85" t="str">
        <f t="shared" si="5"/>
        <v>A3780</v>
      </c>
      <c r="C85">
        <f t="shared" si="7"/>
        <v>432</v>
      </c>
      <c r="D85" t="str">
        <f t="shared" si="6"/>
        <v>1B0</v>
      </c>
    </row>
    <row r="86" spans="1:10">
      <c r="A86">
        <f t="shared" si="4"/>
        <v>669572</v>
      </c>
      <c r="B86" t="str">
        <f t="shared" si="5"/>
        <v>A3784</v>
      </c>
      <c r="C86">
        <f t="shared" si="7"/>
        <v>436</v>
      </c>
      <c r="D86" t="str">
        <f t="shared" si="6"/>
        <v>1B4</v>
      </c>
    </row>
    <row r="87" spans="1:10">
      <c r="A87">
        <f t="shared" si="4"/>
        <v>669576</v>
      </c>
      <c r="B87" t="str">
        <f t="shared" si="5"/>
        <v>A3788</v>
      </c>
      <c r="C87">
        <f t="shared" si="7"/>
        <v>440</v>
      </c>
      <c r="D87" t="str">
        <f t="shared" si="6"/>
        <v>1B8</v>
      </c>
    </row>
    <row r="88" spans="1:10">
      <c r="A88">
        <f t="shared" si="4"/>
        <v>669580</v>
      </c>
      <c r="B88" t="str">
        <f t="shared" si="5"/>
        <v>A378C</v>
      </c>
      <c r="C88">
        <f t="shared" si="7"/>
        <v>444</v>
      </c>
      <c r="D88" t="str">
        <f t="shared" si="6"/>
        <v>1BC</v>
      </c>
    </row>
    <row r="89" spans="1:10">
      <c r="A89">
        <f t="shared" si="4"/>
        <v>669584</v>
      </c>
      <c r="B89" t="str">
        <f t="shared" si="5"/>
        <v>A3790</v>
      </c>
      <c r="C89">
        <f t="shared" si="7"/>
        <v>448</v>
      </c>
      <c r="D89" t="str">
        <f t="shared" si="6"/>
        <v>1C0</v>
      </c>
    </row>
    <row r="90" spans="1:10">
      <c r="A90">
        <f t="shared" si="4"/>
        <v>669588</v>
      </c>
      <c r="B90" t="str">
        <f t="shared" si="5"/>
        <v>A3794</v>
      </c>
      <c r="C90">
        <f t="shared" si="7"/>
        <v>452</v>
      </c>
      <c r="D90" t="str">
        <f t="shared" si="6"/>
        <v>1C4</v>
      </c>
    </row>
    <row r="91" spans="1:10">
      <c r="A91">
        <f t="shared" si="4"/>
        <v>669592</v>
      </c>
      <c r="B91" t="str">
        <f t="shared" si="5"/>
        <v>A3798</v>
      </c>
      <c r="C91">
        <f t="shared" si="7"/>
        <v>456</v>
      </c>
      <c r="D91" t="str">
        <f t="shared" si="6"/>
        <v>1C8</v>
      </c>
    </row>
    <row r="92" spans="1:10">
      <c r="A92">
        <f t="shared" si="4"/>
        <v>669596</v>
      </c>
      <c r="B92" t="str">
        <f t="shared" si="5"/>
        <v>A379C</v>
      </c>
      <c r="C92">
        <f t="shared" si="7"/>
        <v>460</v>
      </c>
      <c r="D92" t="str">
        <f t="shared" si="6"/>
        <v>1CC</v>
      </c>
    </row>
    <row r="93" spans="1:10">
      <c r="A93">
        <f t="shared" si="4"/>
        <v>669600</v>
      </c>
      <c r="B93" t="str">
        <f t="shared" si="5"/>
        <v>A37A0</v>
      </c>
      <c r="C93">
        <f t="shared" si="7"/>
        <v>464</v>
      </c>
      <c r="D93" t="str">
        <f t="shared" si="6"/>
        <v>1D0</v>
      </c>
    </row>
    <row r="94" spans="1:10">
      <c r="A94">
        <f t="shared" ref="A94:A131" si="8">A93+4</f>
        <v>669604</v>
      </c>
      <c r="B94" t="str">
        <f t="shared" si="5"/>
        <v>A37A4</v>
      </c>
      <c r="C94">
        <f t="shared" si="7"/>
        <v>468</v>
      </c>
      <c r="D94" t="str">
        <f t="shared" si="6"/>
        <v>1D4</v>
      </c>
    </row>
    <row r="95" spans="1:10">
      <c r="A95">
        <f t="shared" si="8"/>
        <v>669608</v>
      </c>
      <c r="B95" t="str">
        <f t="shared" si="5"/>
        <v>A37A8</v>
      </c>
      <c r="C95">
        <f t="shared" si="7"/>
        <v>472</v>
      </c>
      <c r="D95" t="str">
        <f t="shared" si="6"/>
        <v>1D8</v>
      </c>
    </row>
    <row r="96" spans="1:10">
      <c r="A96">
        <f t="shared" si="8"/>
        <v>669612</v>
      </c>
      <c r="B96" t="str">
        <f t="shared" si="5"/>
        <v>A37AC</v>
      </c>
      <c r="C96">
        <f t="shared" si="7"/>
        <v>476</v>
      </c>
      <c r="D96" t="str">
        <f t="shared" si="6"/>
        <v>1DC</v>
      </c>
    </row>
    <row r="97" spans="1:4">
      <c r="A97">
        <f t="shared" si="8"/>
        <v>669616</v>
      </c>
      <c r="B97" t="str">
        <f t="shared" si="5"/>
        <v>A37B0</v>
      </c>
      <c r="C97">
        <f t="shared" si="7"/>
        <v>480</v>
      </c>
      <c r="D97" t="str">
        <f t="shared" si="6"/>
        <v>1E0</v>
      </c>
    </row>
    <row r="98" spans="1:4">
      <c r="A98">
        <f t="shared" si="8"/>
        <v>669620</v>
      </c>
      <c r="B98" t="str">
        <f t="shared" si="5"/>
        <v>A37B4</v>
      </c>
      <c r="C98">
        <f t="shared" si="7"/>
        <v>484</v>
      </c>
      <c r="D98" t="str">
        <f t="shared" si="6"/>
        <v>1E4</v>
      </c>
    </row>
    <row r="99" spans="1:4">
      <c r="A99">
        <f t="shared" si="8"/>
        <v>669624</v>
      </c>
      <c r="B99" t="str">
        <f t="shared" si="5"/>
        <v>A37B8</v>
      </c>
      <c r="C99">
        <f t="shared" si="7"/>
        <v>488</v>
      </c>
      <c r="D99" t="str">
        <f t="shared" si="6"/>
        <v>1E8</v>
      </c>
    </row>
    <row r="100" spans="1:4">
      <c r="A100">
        <f t="shared" si="8"/>
        <v>669628</v>
      </c>
      <c r="B100" t="str">
        <f t="shared" si="5"/>
        <v>A37BC</v>
      </c>
      <c r="C100">
        <f t="shared" si="7"/>
        <v>492</v>
      </c>
      <c r="D100" t="str">
        <f t="shared" si="6"/>
        <v>1EC</v>
      </c>
    </row>
    <row r="101" spans="1:4">
      <c r="A101">
        <f t="shared" si="8"/>
        <v>669632</v>
      </c>
      <c r="B101" t="str">
        <f t="shared" si="5"/>
        <v>A37C0</v>
      </c>
      <c r="C101">
        <f t="shared" si="7"/>
        <v>496</v>
      </c>
      <c r="D101" t="str">
        <f t="shared" si="6"/>
        <v>1F0</v>
      </c>
    </row>
    <row r="102" spans="1:4">
      <c r="A102">
        <f t="shared" si="8"/>
        <v>669636</v>
      </c>
      <c r="B102" t="str">
        <f t="shared" si="5"/>
        <v>A37C4</v>
      </c>
      <c r="C102">
        <f t="shared" si="7"/>
        <v>500</v>
      </c>
      <c r="D102" t="str">
        <f t="shared" si="6"/>
        <v>1F4</v>
      </c>
    </row>
    <row r="103" spans="1:4">
      <c r="A103">
        <f t="shared" si="8"/>
        <v>669640</v>
      </c>
      <c r="B103" t="str">
        <f t="shared" si="5"/>
        <v>A37C8</v>
      </c>
      <c r="C103">
        <f t="shared" si="7"/>
        <v>504</v>
      </c>
      <c r="D103" t="str">
        <f t="shared" si="6"/>
        <v>1F8</v>
      </c>
    </row>
    <row r="104" spans="1:4">
      <c r="A104">
        <f t="shared" si="8"/>
        <v>669644</v>
      </c>
      <c r="B104" t="str">
        <f t="shared" si="5"/>
        <v>A37CC</v>
      </c>
      <c r="C104">
        <f t="shared" si="7"/>
        <v>508</v>
      </c>
      <c r="D104" t="str">
        <f t="shared" si="6"/>
        <v>1FC</v>
      </c>
    </row>
    <row r="105" spans="1:4">
      <c r="A105">
        <f t="shared" si="8"/>
        <v>669648</v>
      </c>
      <c r="B105" t="str">
        <f t="shared" si="5"/>
        <v>A37D0</v>
      </c>
      <c r="C105">
        <f t="shared" si="7"/>
        <v>512</v>
      </c>
      <c r="D105" t="str">
        <f t="shared" si="6"/>
        <v>200</v>
      </c>
    </row>
    <row r="106" spans="1:4">
      <c r="A106">
        <f t="shared" si="8"/>
        <v>669652</v>
      </c>
      <c r="B106" t="str">
        <f t="shared" si="5"/>
        <v>A37D4</v>
      </c>
      <c r="C106">
        <f t="shared" si="7"/>
        <v>516</v>
      </c>
      <c r="D106" t="str">
        <f t="shared" si="6"/>
        <v>204</v>
      </c>
    </row>
    <row r="107" spans="1:4">
      <c r="A107">
        <f t="shared" si="8"/>
        <v>669656</v>
      </c>
      <c r="B107" t="str">
        <f t="shared" si="5"/>
        <v>A37D8</v>
      </c>
      <c r="C107">
        <f t="shared" si="7"/>
        <v>520</v>
      </c>
      <c r="D107" t="str">
        <f t="shared" si="6"/>
        <v>208</v>
      </c>
    </row>
    <row r="108" spans="1:4">
      <c r="A108">
        <f t="shared" si="8"/>
        <v>669660</v>
      </c>
      <c r="B108" t="str">
        <f t="shared" si="5"/>
        <v>A37DC</v>
      </c>
      <c r="C108">
        <f t="shared" si="7"/>
        <v>524</v>
      </c>
      <c r="D108" t="str">
        <f t="shared" si="6"/>
        <v>20C</v>
      </c>
    </row>
    <row r="109" spans="1:4">
      <c r="A109">
        <f t="shared" si="8"/>
        <v>669664</v>
      </c>
      <c r="B109" t="str">
        <f t="shared" si="5"/>
        <v>A37E0</v>
      </c>
      <c r="C109">
        <f t="shared" si="7"/>
        <v>528</v>
      </c>
      <c r="D109" t="str">
        <f t="shared" si="6"/>
        <v>210</v>
      </c>
    </row>
    <row r="110" spans="1:4">
      <c r="A110">
        <f t="shared" si="8"/>
        <v>669668</v>
      </c>
      <c r="B110" t="str">
        <f t="shared" si="5"/>
        <v>A37E4</v>
      </c>
      <c r="C110">
        <f t="shared" si="7"/>
        <v>532</v>
      </c>
      <c r="D110" t="str">
        <f t="shared" si="6"/>
        <v>214</v>
      </c>
    </row>
    <row r="111" spans="1:4">
      <c r="A111">
        <f t="shared" si="8"/>
        <v>669672</v>
      </c>
      <c r="B111" t="str">
        <f t="shared" si="5"/>
        <v>A37E8</v>
      </c>
      <c r="C111">
        <f t="shared" si="7"/>
        <v>536</v>
      </c>
      <c r="D111" t="str">
        <f t="shared" si="6"/>
        <v>218</v>
      </c>
    </row>
    <row r="112" spans="1:4">
      <c r="A112">
        <f t="shared" si="8"/>
        <v>669676</v>
      </c>
      <c r="B112" t="str">
        <f t="shared" si="5"/>
        <v>A37EC</v>
      </c>
      <c r="C112">
        <f t="shared" si="7"/>
        <v>540</v>
      </c>
      <c r="D112" t="str">
        <f t="shared" si="6"/>
        <v>21C</v>
      </c>
    </row>
    <row r="113" spans="1:10">
      <c r="A113">
        <f t="shared" si="8"/>
        <v>669680</v>
      </c>
      <c r="B113" t="str">
        <f t="shared" si="5"/>
        <v>A37F0</v>
      </c>
      <c r="C113">
        <f t="shared" si="7"/>
        <v>544</v>
      </c>
      <c r="D113" t="str">
        <f t="shared" si="6"/>
        <v>220</v>
      </c>
    </row>
    <row r="114" spans="1:10">
      <c r="A114">
        <f t="shared" si="8"/>
        <v>669684</v>
      </c>
      <c r="B114" t="str">
        <f t="shared" si="5"/>
        <v>A37F4</v>
      </c>
      <c r="C114">
        <f t="shared" si="7"/>
        <v>548</v>
      </c>
      <c r="D114" t="str">
        <f t="shared" si="6"/>
        <v>224</v>
      </c>
      <c r="H114" s="4" t="s">
        <v>8008</v>
      </c>
      <c r="I114" s="4" t="s">
        <v>7999</v>
      </c>
      <c r="J114" s="4" t="s">
        <v>8010</v>
      </c>
    </row>
    <row r="115" spans="1:10">
      <c r="A115">
        <f t="shared" si="8"/>
        <v>669688</v>
      </c>
      <c r="B115" t="str">
        <f t="shared" si="5"/>
        <v>A37F8</v>
      </c>
      <c r="C115">
        <f t="shared" si="7"/>
        <v>552</v>
      </c>
      <c r="D115" t="str">
        <f t="shared" si="6"/>
        <v>228</v>
      </c>
      <c r="H115" s="4" t="s">
        <v>8011</v>
      </c>
      <c r="I115" s="4" t="s">
        <v>7999</v>
      </c>
      <c r="J115" s="4" t="s">
        <v>8009</v>
      </c>
    </row>
    <row r="116" spans="1:10">
      <c r="A116">
        <f t="shared" si="8"/>
        <v>669692</v>
      </c>
      <c r="B116" t="str">
        <f t="shared" si="5"/>
        <v>A37FC</v>
      </c>
      <c r="C116">
        <f t="shared" si="7"/>
        <v>556</v>
      </c>
      <c r="D116" t="str">
        <f t="shared" si="6"/>
        <v>22C</v>
      </c>
      <c r="H116" s="4" t="s">
        <v>8006</v>
      </c>
      <c r="I116" s="4" t="s">
        <v>7999</v>
      </c>
      <c r="J116" s="4" t="s">
        <v>8007</v>
      </c>
    </row>
    <row r="117" spans="1:10">
      <c r="A117">
        <f t="shared" si="8"/>
        <v>669696</v>
      </c>
      <c r="B117" t="str">
        <f t="shared" si="5"/>
        <v>A3800</v>
      </c>
      <c r="C117">
        <f t="shared" si="7"/>
        <v>560</v>
      </c>
      <c r="D117" t="str">
        <f t="shared" si="6"/>
        <v>230</v>
      </c>
      <c r="H117" s="4" t="s">
        <v>8004</v>
      </c>
      <c r="I117" s="4" t="s">
        <v>7999</v>
      </c>
      <c r="J117" s="4" t="s">
        <v>8005</v>
      </c>
    </row>
    <row r="118" spans="1:10">
      <c r="A118">
        <f t="shared" si="8"/>
        <v>669700</v>
      </c>
      <c r="B118" t="str">
        <f t="shared" si="5"/>
        <v>A3804</v>
      </c>
      <c r="C118">
        <f t="shared" si="7"/>
        <v>564</v>
      </c>
      <c r="D118" t="str">
        <f t="shared" si="6"/>
        <v>234</v>
      </c>
      <c r="H118" s="4" t="s">
        <v>8003</v>
      </c>
      <c r="I118" s="4" t="s">
        <v>7999</v>
      </c>
      <c r="J118" s="4" t="s">
        <v>8000</v>
      </c>
    </row>
    <row r="119" spans="1:10">
      <c r="A119">
        <f t="shared" si="8"/>
        <v>669704</v>
      </c>
      <c r="B119" t="str">
        <f t="shared" si="5"/>
        <v>A3808</v>
      </c>
      <c r="C119">
        <f t="shared" si="7"/>
        <v>568</v>
      </c>
      <c r="D119" t="str">
        <f t="shared" si="6"/>
        <v>238</v>
      </c>
      <c r="H119" s="4" t="s">
        <v>7998</v>
      </c>
      <c r="I119" s="4" t="s">
        <v>7999</v>
      </c>
      <c r="J119" s="4" t="s">
        <v>8000</v>
      </c>
    </row>
    <row r="120" spans="1:10">
      <c r="A120">
        <f t="shared" si="8"/>
        <v>669708</v>
      </c>
      <c r="B120" t="str">
        <f t="shared" si="5"/>
        <v>A380C</v>
      </c>
      <c r="C120">
        <f t="shared" si="7"/>
        <v>572</v>
      </c>
      <c r="D120" t="str">
        <f t="shared" si="6"/>
        <v>23C</v>
      </c>
      <c r="H120" s="4" t="s">
        <v>8002</v>
      </c>
      <c r="I120" s="4" t="s">
        <v>7999</v>
      </c>
      <c r="J120" s="4" t="s">
        <v>8000</v>
      </c>
    </row>
    <row r="121" spans="1:10">
      <c r="A121">
        <f t="shared" si="8"/>
        <v>669712</v>
      </c>
      <c r="B121" t="str">
        <f t="shared" si="5"/>
        <v>A3810</v>
      </c>
      <c r="C121">
        <f t="shared" si="7"/>
        <v>576</v>
      </c>
      <c r="D121" t="str">
        <f t="shared" si="6"/>
        <v>240</v>
      </c>
      <c r="H121" s="4" t="s">
        <v>8001</v>
      </c>
      <c r="I121" s="4" t="s">
        <v>7999</v>
      </c>
      <c r="J121" s="4" t="s">
        <v>8000</v>
      </c>
    </row>
    <row r="122" spans="1:10">
      <c r="A122">
        <f t="shared" si="8"/>
        <v>669716</v>
      </c>
      <c r="B122" t="str">
        <f t="shared" si="5"/>
        <v>A3814</v>
      </c>
      <c r="C122">
        <f t="shared" si="7"/>
        <v>580</v>
      </c>
      <c r="D122" t="str">
        <f t="shared" si="6"/>
        <v>244</v>
      </c>
    </row>
    <row r="123" spans="1:10">
      <c r="A123">
        <f t="shared" si="8"/>
        <v>669720</v>
      </c>
      <c r="B123" t="str">
        <f t="shared" si="5"/>
        <v>A3818</v>
      </c>
      <c r="C123">
        <f t="shared" si="7"/>
        <v>584</v>
      </c>
      <c r="D123" t="str">
        <f t="shared" si="6"/>
        <v>248</v>
      </c>
    </row>
    <row r="124" spans="1:10">
      <c r="A124">
        <f t="shared" si="8"/>
        <v>669724</v>
      </c>
      <c r="B124" t="str">
        <f t="shared" si="5"/>
        <v>A381C</v>
      </c>
      <c r="C124">
        <f t="shared" si="7"/>
        <v>588</v>
      </c>
      <c r="D124" t="str">
        <f t="shared" si="6"/>
        <v>24C</v>
      </c>
    </row>
    <row r="125" spans="1:10">
      <c r="A125">
        <f t="shared" si="8"/>
        <v>669728</v>
      </c>
      <c r="B125" t="str">
        <f t="shared" si="5"/>
        <v>A3820</v>
      </c>
      <c r="C125">
        <f t="shared" si="7"/>
        <v>592</v>
      </c>
      <c r="D125" t="str">
        <f t="shared" si="6"/>
        <v>250</v>
      </c>
    </row>
    <row r="126" spans="1:10">
      <c r="A126">
        <f t="shared" si="8"/>
        <v>669732</v>
      </c>
      <c r="B126" t="str">
        <f t="shared" si="5"/>
        <v>A3824</v>
      </c>
      <c r="C126">
        <f t="shared" si="7"/>
        <v>596</v>
      </c>
      <c r="D126" t="str">
        <f t="shared" si="6"/>
        <v>254</v>
      </c>
    </row>
    <row r="127" spans="1:10">
      <c r="A127">
        <f t="shared" si="8"/>
        <v>669736</v>
      </c>
      <c r="B127" t="str">
        <f t="shared" si="5"/>
        <v>A3828</v>
      </c>
      <c r="C127">
        <f t="shared" si="7"/>
        <v>600</v>
      </c>
      <c r="D127" t="str">
        <f t="shared" si="6"/>
        <v>258</v>
      </c>
    </row>
    <row r="128" spans="1:10">
      <c r="A128">
        <f t="shared" si="8"/>
        <v>669740</v>
      </c>
      <c r="B128" t="str">
        <f t="shared" si="5"/>
        <v>A382C</v>
      </c>
      <c r="C128">
        <f t="shared" si="7"/>
        <v>604</v>
      </c>
      <c r="D128" t="str">
        <f t="shared" si="6"/>
        <v>25C</v>
      </c>
    </row>
    <row r="129" spans="1:4">
      <c r="A129">
        <f t="shared" si="8"/>
        <v>669744</v>
      </c>
      <c r="B129" t="str">
        <f t="shared" si="5"/>
        <v>A3830</v>
      </c>
      <c r="C129">
        <f t="shared" si="7"/>
        <v>608</v>
      </c>
      <c r="D129" t="str">
        <f t="shared" si="6"/>
        <v>260</v>
      </c>
    </row>
    <row r="130" spans="1:4">
      <c r="A130">
        <f t="shared" si="8"/>
        <v>669748</v>
      </c>
      <c r="B130" t="str">
        <f t="shared" si="5"/>
        <v>A3834</v>
      </c>
      <c r="C130">
        <f t="shared" si="7"/>
        <v>612</v>
      </c>
      <c r="D130" t="str">
        <f t="shared" si="6"/>
        <v>264</v>
      </c>
    </row>
    <row r="131" spans="1:4">
      <c r="A131">
        <f t="shared" si="8"/>
        <v>669752</v>
      </c>
      <c r="B131" t="str">
        <f t="shared" ref="B131:B133" si="9">DEC2HEX(A131)</f>
        <v>A3838</v>
      </c>
      <c r="C131">
        <f t="shared" si="7"/>
        <v>616</v>
      </c>
      <c r="D131" t="str">
        <f t="shared" ref="D131:D133" si="10">DEC2HEX(C131)</f>
        <v>268</v>
      </c>
    </row>
    <row r="132" spans="1:4">
      <c r="A132">
        <f t="shared" ref="A132:A133" si="11">A131+4</f>
        <v>669756</v>
      </c>
      <c r="B132" t="str">
        <f t="shared" si="9"/>
        <v>A383C</v>
      </c>
      <c r="C132">
        <f t="shared" ref="C132:C133" si="12">A132-$A$2</f>
        <v>620</v>
      </c>
      <c r="D132" t="str">
        <f t="shared" si="10"/>
        <v>26C</v>
      </c>
    </row>
    <row r="133" spans="1:4">
      <c r="A133">
        <f t="shared" si="11"/>
        <v>669760</v>
      </c>
      <c r="B133" t="str">
        <f t="shared" si="9"/>
        <v>A3840</v>
      </c>
      <c r="C133">
        <f t="shared" si="12"/>
        <v>624</v>
      </c>
      <c r="D133" t="str">
        <f t="shared" si="10"/>
        <v>270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33410-240C-402E-9837-B049B8A88438}">
  <dimension ref="A1:J18"/>
  <sheetViews>
    <sheetView workbookViewId="0">
      <selection activeCell="F11" sqref="F11"/>
    </sheetView>
  </sheetViews>
  <sheetFormatPr defaultRowHeight="15"/>
  <cols>
    <col min="1" max="1" width="9.140625" style="4"/>
    <col min="2" max="2" width="42.42578125" style="4" customWidth="1"/>
    <col min="3" max="3" width="18.85546875" style="4" customWidth="1"/>
    <col min="4" max="4" width="20.28515625" style="4" customWidth="1"/>
    <col min="5" max="6" width="9.140625" style="4"/>
    <col min="7" max="7" width="19.5703125" style="4" customWidth="1"/>
    <col min="8" max="8" width="23.28515625" style="4" customWidth="1"/>
    <col min="9" max="9" width="28.140625" style="4" customWidth="1"/>
    <col min="10" max="16384" width="9.140625" style="4"/>
  </cols>
  <sheetData>
    <row r="1" spans="1:10">
      <c r="A1" s="92" t="s">
        <v>8066</v>
      </c>
      <c r="B1" s="92"/>
    </row>
    <row r="2" spans="1:10">
      <c r="A2" s="92" t="s">
        <v>8067</v>
      </c>
      <c r="B2" s="92"/>
    </row>
    <row r="3" spans="1:10">
      <c r="A3" s="92" t="s">
        <v>8068</v>
      </c>
      <c r="B3" s="92"/>
    </row>
    <row r="4" spans="1:10">
      <c r="A4" s="92" t="s">
        <v>8069</v>
      </c>
      <c r="B4" s="92"/>
    </row>
    <row r="5" spans="1:10">
      <c r="A5" s="92" t="s">
        <v>8070</v>
      </c>
      <c r="B5" s="92"/>
    </row>
    <row r="6" spans="1:10">
      <c r="A6" s="92" t="s">
        <v>8071</v>
      </c>
      <c r="B6" s="92"/>
    </row>
    <row r="7" spans="1:10">
      <c r="C7" s="4" t="s">
        <v>8083</v>
      </c>
      <c r="D7" s="4" t="s">
        <v>8082</v>
      </c>
      <c r="G7" s="4" t="s">
        <v>8084</v>
      </c>
      <c r="H7" s="4" t="s">
        <v>8081</v>
      </c>
      <c r="I7" s="4" t="s">
        <v>8080</v>
      </c>
      <c r="J7" s="4" t="s">
        <v>8091</v>
      </c>
    </row>
    <row r="8" spans="1:10">
      <c r="A8" s="4" t="s">
        <v>8072</v>
      </c>
      <c r="B8" s="4" t="s">
        <v>8076</v>
      </c>
      <c r="C8" s="4" t="s">
        <v>8073</v>
      </c>
      <c r="D8" s="4" t="s">
        <v>8074</v>
      </c>
      <c r="E8" s="4" t="s">
        <v>124</v>
      </c>
      <c r="F8" s="4" t="s">
        <v>124</v>
      </c>
      <c r="G8" s="4" t="s">
        <v>6871</v>
      </c>
      <c r="H8" s="4" t="s">
        <v>1408</v>
      </c>
      <c r="I8" s="4" t="s">
        <v>8075</v>
      </c>
      <c r="J8" s="4" t="s">
        <v>6847</v>
      </c>
    </row>
    <row r="9" spans="1:10">
      <c r="A9" s="4" t="s">
        <v>8077</v>
      </c>
      <c r="B9" s="4" t="s">
        <v>8090</v>
      </c>
      <c r="C9" s="4" t="s">
        <v>8078</v>
      </c>
      <c r="D9" s="4" t="s">
        <v>8079</v>
      </c>
      <c r="E9" s="4" t="s">
        <v>124</v>
      </c>
      <c r="F9" s="4" t="s">
        <v>124</v>
      </c>
      <c r="G9" s="4" t="s">
        <v>6883</v>
      </c>
      <c r="H9" s="4" t="s">
        <v>6816</v>
      </c>
      <c r="I9" s="4" t="s">
        <v>8075</v>
      </c>
      <c r="J9" s="4" t="s">
        <v>6847</v>
      </c>
    </row>
    <row r="11" spans="1:10">
      <c r="A11" s="4" t="s">
        <v>8072</v>
      </c>
      <c r="B11" s="4" t="s">
        <v>8076</v>
      </c>
      <c r="C11" s="4" t="s">
        <v>8085</v>
      </c>
      <c r="D11" s="4" t="s">
        <v>8086</v>
      </c>
      <c r="E11" s="4" t="s">
        <v>7071</v>
      </c>
      <c r="F11" s="4" t="s">
        <v>7071</v>
      </c>
      <c r="G11" s="4" t="s">
        <v>5075</v>
      </c>
      <c r="H11" s="4" t="s">
        <v>3493</v>
      </c>
      <c r="I11" s="4" t="s">
        <v>8087</v>
      </c>
      <c r="J11" s="4" t="s">
        <v>3499</v>
      </c>
    </row>
    <row r="12" spans="1:10">
      <c r="A12" s="4" t="s">
        <v>8077</v>
      </c>
      <c r="B12" s="4" t="s">
        <v>8090</v>
      </c>
      <c r="C12" s="4" t="s">
        <v>8088</v>
      </c>
      <c r="D12" s="4" t="s">
        <v>8089</v>
      </c>
      <c r="E12" s="4" t="s">
        <v>7071</v>
      </c>
      <c r="F12" s="4" t="s">
        <v>7071</v>
      </c>
      <c r="G12" s="4" t="s">
        <v>3518</v>
      </c>
      <c r="H12" s="4" t="s">
        <v>3953</v>
      </c>
      <c r="I12" s="4" t="s">
        <v>8087</v>
      </c>
      <c r="J12" s="4" t="s">
        <v>3499</v>
      </c>
    </row>
    <row r="17" spans="1:2">
      <c r="A17" s="4" t="s">
        <v>8092</v>
      </c>
      <c r="B17" s="4" t="s">
        <v>8093</v>
      </c>
    </row>
    <row r="18" spans="1:2">
      <c r="A18" s="4" t="s">
        <v>8095</v>
      </c>
      <c r="B18" s="4" t="s">
        <v>8094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AC8AA-40E3-4D67-B38E-56417674A395}">
  <dimension ref="A3:D74"/>
  <sheetViews>
    <sheetView workbookViewId="0">
      <selection activeCell="B22" sqref="B22"/>
    </sheetView>
  </sheetViews>
  <sheetFormatPr defaultRowHeight="15"/>
  <cols>
    <col min="1" max="1" width="9.140625" style="4"/>
    <col min="3" max="3" width="73.140625" customWidth="1"/>
    <col min="4" max="4" width="35" customWidth="1"/>
  </cols>
  <sheetData>
    <row r="3" spans="1:4">
      <c r="A3" s="4" t="s">
        <v>7812</v>
      </c>
      <c r="C3" t="s">
        <v>7815</v>
      </c>
      <c r="D3" t="s">
        <v>7811</v>
      </c>
    </row>
    <row r="4" spans="1:4">
      <c r="A4" s="4" t="s">
        <v>7817</v>
      </c>
      <c r="C4" t="s">
        <v>7809</v>
      </c>
      <c r="D4" t="s">
        <v>7813</v>
      </c>
    </row>
    <row r="5" spans="1:4">
      <c r="A5" s="4" t="s">
        <v>7816</v>
      </c>
      <c r="C5" t="s">
        <v>7810</v>
      </c>
      <c r="D5" t="s">
        <v>7814</v>
      </c>
    </row>
    <row r="6" spans="1:4">
      <c r="A6" s="4" t="s">
        <v>7781</v>
      </c>
      <c r="C6" t="s">
        <v>7782</v>
      </c>
      <c r="D6" t="s">
        <v>7780</v>
      </c>
    </row>
    <row r="7" spans="1:4">
      <c r="A7" s="4" t="s">
        <v>7783</v>
      </c>
      <c r="C7" t="s">
        <v>7798</v>
      </c>
      <c r="D7" t="s">
        <v>7818</v>
      </c>
    </row>
    <row r="8" spans="1:4">
      <c r="A8" s="4" t="s">
        <v>7819</v>
      </c>
      <c r="C8" t="s">
        <v>7924</v>
      </c>
      <c r="D8" t="s">
        <v>7821</v>
      </c>
    </row>
    <row r="9" spans="1:4">
      <c r="A9" s="4" t="s">
        <v>7820</v>
      </c>
      <c r="C9" t="s">
        <v>7823</v>
      </c>
      <c r="D9" t="s">
        <v>7822</v>
      </c>
    </row>
    <row r="10" spans="1:4">
      <c r="A10" s="4" t="s">
        <v>7784</v>
      </c>
      <c r="C10" t="s">
        <v>7804</v>
      </c>
      <c r="D10" t="s">
        <v>7785</v>
      </c>
    </row>
    <row r="11" spans="1:4">
      <c r="A11" s="4" t="s">
        <v>7824</v>
      </c>
      <c r="C11" t="s">
        <v>7801</v>
      </c>
      <c r="D11" t="s">
        <v>7831</v>
      </c>
    </row>
    <row r="12" spans="1:4">
      <c r="A12" s="4" t="s">
        <v>7825</v>
      </c>
      <c r="C12" t="s">
        <v>7923</v>
      </c>
      <c r="D12" t="s">
        <v>7832</v>
      </c>
    </row>
    <row r="13" spans="1:4">
      <c r="A13" s="4" t="s">
        <v>7826</v>
      </c>
      <c r="D13" t="s">
        <v>7833</v>
      </c>
    </row>
    <row r="14" spans="1:4">
      <c r="A14" s="4" t="s">
        <v>7827</v>
      </c>
      <c r="D14" t="s">
        <v>7834</v>
      </c>
    </row>
    <row r="15" spans="1:4">
      <c r="A15" s="4" t="s">
        <v>7828</v>
      </c>
      <c r="D15" t="s">
        <v>7835</v>
      </c>
    </row>
    <row r="16" spans="1:4">
      <c r="A16" s="4" t="s">
        <v>7829</v>
      </c>
      <c r="D16" t="s">
        <v>7836</v>
      </c>
    </row>
    <row r="17" spans="1:4">
      <c r="A17" s="4" t="s">
        <v>7830</v>
      </c>
      <c r="C17" t="s">
        <v>7803</v>
      </c>
      <c r="D17" t="s">
        <v>7837</v>
      </c>
    </row>
    <row r="18" spans="1:4">
      <c r="A18" s="4" t="s">
        <v>7839</v>
      </c>
      <c r="C18" t="s">
        <v>7802</v>
      </c>
      <c r="D18" t="s">
        <v>7838</v>
      </c>
    </row>
    <row r="19" spans="1:4">
      <c r="A19" s="4" t="s">
        <v>7840</v>
      </c>
      <c r="D19" t="s">
        <v>7845</v>
      </c>
    </row>
    <row r="20" spans="1:4">
      <c r="A20" s="4" t="s">
        <v>7841</v>
      </c>
      <c r="D20" t="s">
        <v>7846</v>
      </c>
    </row>
    <row r="21" spans="1:4">
      <c r="A21" s="4" t="s">
        <v>7842</v>
      </c>
      <c r="D21" t="s">
        <v>7847</v>
      </c>
    </row>
    <row r="22" spans="1:4">
      <c r="A22" s="4" t="s">
        <v>7843</v>
      </c>
      <c r="C22" t="s">
        <v>7799</v>
      </c>
      <c r="D22" t="s">
        <v>7848</v>
      </c>
    </row>
    <row r="23" spans="1:4">
      <c r="A23" s="4" t="s">
        <v>7844</v>
      </c>
      <c r="D23" t="s">
        <v>7849</v>
      </c>
    </row>
    <row r="24" spans="1:4">
      <c r="A24" s="4" t="s">
        <v>7795</v>
      </c>
      <c r="C24" t="s">
        <v>7788</v>
      </c>
      <c r="D24" t="s">
        <v>7794</v>
      </c>
    </row>
    <row r="25" spans="1:4">
      <c r="A25" s="4" t="s">
        <v>7786</v>
      </c>
      <c r="C25" t="s">
        <v>7793</v>
      </c>
      <c r="D25" t="s">
        <v>7787</v>
      </c>
    </row>
    <row r="26" spans="1:4">
      <c r="A26" s="4" t="s">
        <v>7850</v>
      </c>
      <c r="C26" t="s">
        <v>7922</v>
      </c>
      <c r="D26" t="s">
        <v>7851</v>
      </c>
    </row>
    <row r="27" spans="1:4">
      <c r="A27" s="4" t="s">
        <v>7790</v>
      </c>
      <c r="C27" t="s">
        <v>7805</v>
      </c>
      <c r="D27" t="s">
        <v>7789</v>
      </c>
    </row>
    <row r="28" spans="1:4">
      <c r="A28" s="4" t="s">
        <v>7791</v>
      </c>
      <c r="C28" t="s">
        <v>7806</v>
      </c>
      <c r="D28" t="s">
        <v>7792</v>
      </c>
    </row>
    <row r="29" spans="1:4">
      <c r="A29" s="4" t="s">
        <v>7852</v>
      </c>
      <c r="C29" t="s">
        <v>7823</v>
      </c>
      <c r="D29" t="s">
        <v>7853</v>
      </c>
    </row>
    <row r="30" spans="1:4">
      <c r="A30" s="4" t="s">
        <v>7796</v>
      </c>
      <c r="C30" t="s">
        <v>7917</v>
      </c>
      <c r="D30" t="s">
        <v>7797</v>
      </c>
    </row>
    <row r="31" spans="1:4">
      <c r="A31" s="4" t="s">
        <v>7854</v>
      </c>
      <c r="C31" t="s">
        <v>7808</v>
      </c>
      <c r="D31" t="s">
        <v>7883</v>
      </c>
    </row>
    <row r="32" spans="1:4">
      <c r="A32" s="4" t="s">
        <v>7855</v>
      </c>
      <c r="C32" t="s">
        <v>7807</v>
      </c>
      <c r="D32" t="s">
        <v>7884</v>
      </c>
    </row>
    <row r="33" spans="1:4">
      <c r="A33" s="4" t="s">
        <v>7856</v>
      </c>
      <c r="C33" t="s">
        <v>7918</v>
      </c>
      <c r="D33" t="s">
        <v>7885</v>
      </c>
    </row>
    <row r="34" spans="1:4">
      <c r="A34" s="4" t="s">
        <v>7857</v>
      </c>
      <c r="D34" t="s">
        <v>7886</v>
      </c>
    </row>
    <row r="35" spans="1:4">
      <c r="A35" s="4" t="s">
        <v>7858</v>
      </c>
      <c r="D35" t="s">
        <v>7887</v>
      </c>
    </row>
    <row r="36" spans="1:4">
      <c r="A36" s="4" t="s">
        <v>7859</v>
      </c>
      <c r="D36" t="s">
        <v>7888</v>
      </c>
    </row>
    <row r="37" spans="1:4">
      <c r="A37" s="4" t="s">
        <v>7860</v>
      </c>
      <c r="D37" t="s">
        <v>7889</v>
      </c>
    </row>
    <row r="38" spans="1:4">
      <c r="A38" s="4" t="s">
        <v>7862</v>
      </c>
      <c r="D38" t="s">
        <v>7890</v>
      </c>
    </row>
    <row r="39" spans="1:4">
      <c r="A39" s="4" t="s">
        <v>7912</v>
      </c>
      <c r="D39" t="s">
        <v>7891</v>
      </c>
    </row>
    <row r="40" spans="1:4">
      <c r="A40" s="4" t="s">
        <v>7913</v>
      </c>
      <c r="D40" t="s">
        <v>7892</v>
      </c>
    </row>
    <row r="41" spans="1:4">
      <c r="A41" s="4" t="s">
        <v>7863</v>
      </c>
      <c r="D41" t="s">
        <v>7893</v>
      </c>
    </row>
    <row r="42" spans="1:4">
      <c r="A42" s="4" t="s">
        <v>7864</v>
      </c>
      <c r="D42" t="s">
        <v>7894</v>
      </c>
    </row>
    <row r="43" spans="1:4">
      <c r="A43" s="4" t="s">
        <v>7865</v>
      </c>
      <c r="D43" t="s">
        <v>7895</v>
      </c>
    </row>
    <row r="44" spans="1:4">
      <c r="A44" s="4" t="s">
        <v>7866</v>
      </c>
      <c r="D44" t="s">
        <v>7896</v>
      </c>
    </row>
    <row r="45" spans="1:4">
      <c r="A45" s="4" t="s">
        <v>7867</v>
      </c>
      <c r="D45" t="s">
        <v>7897</v>
      </c>
    </row>
    <row r="46" spans="1:4">
      <c r="A46" s="4" t="s">
        <v>7868</v>
      </c>
      <c r="D46" t="s">
        <v>7898</v>
      </c>
    </row>
    <row r="47" spans="1:4">
      <c r="A47" s="4" t="s">
        <v>7869</v>
      </c>
      <c r="D47" t="s">
        <v>7899</v>
      </c>
    </row>
    <row r="48" spans="1:4">
      <c r="A48" s="4" t="s">
        <v>7870</v>
      </c>
      <c r="D48" t="s">
        <v>7900</v>
      </c>
    </row>
    <row r="49" spans="1:4">
      <c r="A49" s="4" t="s">
        <v>7871</v>
      </c>
      <c r="D49" t="s">
        <v>7901</v>
      </c>
    </row>
    <row r="50" spans="1:4">
      <c r="A50" s="4" t="s">
        <v>7872</v>
      </c>
      <c r="D50" t="s">
        <v>7902</v>
      </c>
    </row>
    <row r="51" spans="1:4">
      <c r="A51" s="4" t="s">
        <v>7873</v>
      </c>
      <c r="C51" t="s">
        <v>7823</v>
      </c>
      <c r="D51" t="s">
        <v>7903</v>
      </c>
    </row>
    <row r="52" spans="1:4">
      <c r="A52" s="4" t="s">
        <v>7874</v>
      </c>
      <c r="C52" t="s">
        <v>7920</v>
      </c>
      <c r="D52" t="s">
        <v>7904</v>
      </c>
    </row>
    <row r="53" spans="1:4">
      <c r="A53" s="4" t="s">
        <v>7875</v>
      </c>
      <c r="C53" t="s">
        <v>7920</v>
      </c>
      <c r="D53" t="s">
        <v>7905</v>
      </c>
    </row>
    <row r="54" spans="1:4">
      <c r="A54" s="4" t="s">
        <v>7876</v>
      </c>
      <c r="C54" t="s">
        <v>7919</v>
      </c>
      <c r="D54" t="s">
        <v>7906</v>
      </c>
    </row>
    <row r="55" spans="1:4">
      <c r="A55" s="4" t="s">
        <v>7877</v>
      </c>
      <c r="C55" t="s">
        <v>7916</v>
      </c>
      <c r="D55" t="s">
        <v>7907</v>
      </c>
    </row>
    <row r="56" spans="1:4">
      <c r="A56" s="4" t="s">
        <v>7878</v>
      </c>
      <c r="C56" t="s">
        <v>7921</v>
      </c>
      <c r="D56" t="s">
        <v>7908</v>
      </c>
    </row>
    <row r="57" spans="1:4">
      <c r="A57" s="4" t="s">
        <v>7879</v>
      </c>
      <c r="C57" t="s">
        <v>7925</v>
      </c>
      <c r="D57" t="s">
        <v>7909</v>
      </c>
    </row>
    <row r="58" spans="1:4">
      <c r="A58" s="4" t="s">
        <v>7880</v>
      </c>
      <c r="C58" t="s">
        <v>7823</v>
      </c>
      <c r="D58" t="s">
        <v>7910</v>
      </c>
    </row>
    <row r="59" spans="1:4">
      <c r="A59" s="4" t="s">
        <v>7881</v>
      </c>
      <c r="C59" t="s">
        <v>7926</v>
      </c>
      <c r="D59" t="s">
        <v>7911</v>
      </c>
    </row>
    <row r="60" spans="1:4">
      <c r="A60" s="4" t="s">
        <v>7882</v>
      </c>
      <c r="C60" t="s">
        <v>7927</v>
      </c>
      <c r="D60" t="s">
        <v>7914</v>
      </c>
    </row>
    <row r="61" spans="1:4">
      <c r="A61" s="4" t="s">
        <v>7861</v>
      </c>
      <c r="C61" t="s">
        <v>7823</v>
      </c>
      <c r="D61" t="s">
        <v>7915</v>
      </c>
    </row>
    <row r="62" spans="1:4">
      <c r="D62">
        <v>19</v>
      </c>
    </row>
    <row r="63" spans="1:4">
      <c r="D63">
        <v>18</v>
      </c>
    </row>
    <row r="64" spans="1:4">
      <c r="D64">
        <v>22</v>
      </c>
    </row>
    <row r="66" spans="3:4">
      <c r="D66">
        <v>7</v>
      </c>
    </row>
    <row r="67" spans="3:4">
      <c r="D67" t="s">
        <v>3443</v>
      </c>
    </row>
    <row r="68" spans="3:4">
      <c r="D68">
        <v>11</v>
      </c>
    </row>
    <row r="69" spans="3:4">
      <c r="C69" t="s">
        <v>7800</v>
      </c>
      <c r="D69">
        <v>13</v>
      </c>
    </row>
    <row r="70" spans="3:4">
      <c r="D70">
        <v>12</v>
      </c>
    </row>
    <row r="71" spans="3:4">
      <c r="D71">
        <v>8</v>
      </c>
    </row>
    <row r="72" spans="3:4">
      <c r="D72" t="s">
        <v>3466</v>
      </c>
    </row>
    <row r="73" spans="3:4">
      <c r="D73">
        <v>12</v>
      </c>
    </row>
    <row r="74" spans="3:4">
      <c r="D74">
        <v>13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280"/>
  <sheetViews>
    <sheetView topLeftCell="A211" zoomScaleNormal="100" workbookViewId="0"/>
  </sheetViews>
  <sheetFormatPr defaultColWidth="11.5703125" defaultRowHeight="15"/>
  <cols>
    <col min="1" max="1" width="11.7109375" style="4" customWidth="1"/>
    <col min="2" max="2" width="8.7109375" customWidth="1"/>
    <col min="3" max="3" width="83.28515625" style="4" customWidth="1"/>
    <col min="4" max="4" width="20.5703125" style="4" customWidth="1"/>
    <col min="5" max="5" width="8.140625" customWidth="1"/>
    <col min="6" max="6" width="17.140625" customWidth="1"/>
    <col min="7" max="8" width="11.7109375" customWidth="1"/>
    <col min="9" max="12" width="9.42578125" customWidth="1"/>
    <col min="13" max="13" width="35" customWidth="1"/>
    <col min="14" max="64" width="9.42578125" customWidth="1"/>
  </cols>
  <sheetData>
    <row r="1" spans="1:13" ht="107.45" customHeight="1">
      <c r="A1" s="4" t="s">
        <v>3915</v>
      </c>
      <c r="C1" s="4" t="s">
        <v>3916</v>
      </c>
      <c r="F1" t="s">
        <v>3917</v>
      </c>
      <c r="M1" s="18" t="s">
        <v>3918</v>
      </c>
    </row>
    <row r="6" spans="1:13">
      <c r="A6" s="55" t="s">
        <v>3919</v>
      </c>
      <c r="B6" s="56"/>
      <c r="C6" s="55" t="s">
        <v>3920</v>
      </c>
      <c r="D6" s="4" t="s">
        <v>3921</v>
      </c>
      <c r="E6" s="56"/>
    </row>
    <row r="7" spans="1:13">
      <c r="A7" s="55"/>
      <c r="B7" s="56"/>
      <c r="C7" s="55"/>
      <c r="D7" s="55"/>
      <c r="E7" s="56"/>
    </row>
    <row r="8" spans="1:13">
      <c r="A8" s="55" t="s">
        <v>3922</v>
      </c>
      <c r="B8" s="56" t="s">
        <v>521</v>
      </c>
      <c r="C8" s="55" t="s">
        <v>3923</v>
      </c>
      <c r="D8" s="55" t="s">
        <v>3924</v>
      </c>
      <c r="E8" s="56">
        <v>16</v>
      </c>
      <c r="F8" t="s">
        <v>3925</v>
      </c>
    </row>
    <row r="9" spans="1:13">
      <c r="A9" s="55" t="s">
        <v>3926</v>
      </c>
      <c r="B9" s="56" t="s">
        <v>529</v>
      </c>
      <c r="C9" s="55" t="s">
        <v>3927</v>
      </c>
      <c r="D9" s="55" t="s">
        <v>3928</v>
      </c>
      <c r="E9" s="56">
        <v>16</v>
      </c>
      <c r="F9" t="s">
        <v>3929</v>
      </c>
    </row>
    <row r="10" spans="1:13">
      <c r="A10" s="55" t="s">
        <v>3930</v>
      </c>
      <c r="B10" s="56" t="s">
        <v>536</v>
      </c>
      <c r="C10" s="55" t="s">
        <v>3931</v>
      </c>
      <c r="D10" s="55" t="s">
        <v>3932</v>
      </c>
      <c r="E10" s="56">
        <v>16</v>
      </c>
    </row>
    <row r="11" spans="1:13">
      <c r="A11" s="55" t="s">
        <v>3933</v>
      </c>
      <c r="B11" s="56" t="s">
        <v>544</v>
      </c>
      <c r="C11" s="55" t="s">
        <v>3934</v>
      </c>
      <c r="D11" s="55" t="s">
        <v>3935</v>
      </c>
      <c r="E11" s="56">
        <v>8</v>
      </c>
    </row>
    <row r="12" spans="1:13">
      <c r="A12" s="55" t="s">
        <v>3936</v>
      </c>
      <c r="B12" s="56" t="s">
        <v>548</v>
      </c>
      <c r="C12" s="55" t="s">
        <v>3937</v>
      </c>
      <c r="D12" s="55" t="s">
        <v>3938</v>
      </c>
      <c r="E12" s="56">
        <v>8</v>
      </c>
    </row>
    <row r="13" spans="1:13">
      <c r="A13" s="55" t="s">
        <v>3939</v>
      </c>
      <c r="B13" s="56" t="s">
        <v>551</v>
      </c>
      <c r="C13" s="55" t="s">
        <v>3940</v>
      </c>
      <c r="D13" s="55" t="s">
        <v>3935</v>
      </c>
      <c r="E13" s="56">
        <v>8</v>
      </c>
    </row>
    <row r="14" spans="1:13">
      <c r="A14" s="55" t="s">
        <v>3941</v>
      </c>
      <c r="B14" s="56" t="s">
        <v>554</v>
      </c>
      <c r="C14" s="55" t="s">
        <v>3942</v>
      </c>
      <c r="D14" s="55" t="s">
        <v>3943</v>
      </c>
      <c r="E14" s="56">
        <v>8</v>
      </c>
    </row>
    <row r="15" spans="1:13">
      <c r="A15" s="55" t="s">
        <v>3944</v>
      </c>
      <c r="B15" s="56" t="s">
        <v>557</v>
      </c>
      <c r="C15" s="55" t="s">
        <v>2906</v>
      </c>
      <c r="D15" s="55" t="s">
        <v>2906</v>
      </c>
      <c r="E15" s="56">
        <v>16</v>
      </c>
    </row>
    <row r="16" spans="1:13">
      <c r="A16" s="55" t="s">
        <v>3945</v>
      </c>
      <c r="B16" s="56" t="s">
        <v>563</v>
      </c>
      <c r="C16" s="55" t="s">
        <v>3946</v>
      </c>
      <c r="D16" s="55" t="s">
        <v>3478</v>
      </c>
      <c r="E16" s="56">
        <v>8</v>
      </c>
    </row>
    <row r="17" spans="1:6">
      <c r="A17" s="55" t="s">
        <v>3947</v>
      </c>
      <c r="B17" s="56" t="s">
        <v>1183</v>
      </c>
      <c r="C17" s="55"/>
      <c r="D17" s="55" t="s">
        <v>3478</v>
      </c>
      <c r="E17" s="56">
        <v>8</v>
      </c>
    </row>
    <row r="18" spans="1:6" ht="45">
      <c r="A18" s="55" t="s">
        <v>3948</v>
      </c>
      <c r="B18" s="56" t="s">
        <v>569</v>
      </c>
      <c r="C18" s="57" t="s">
        <v>3949</v>
      </c>
      <c r="D18" s="55" t="s">
        <v>3950</v>
      </c>
      <c r="E18" s="56">
        <v>8</v>
      </c>
    </row>
    <row r="19" spans="1:6">
      <c r="A19" s="55" t="s">
        <v>3951</v>
      </c>
      <c r="B19" s="56" t="s">
        <v>572</v>
      </c>
      <c r="C19" s="55" t="s">
        <v>3952</v>
      </c>
      <c r="D19" s="55" t="s">
        <v>3953</v>
      </c>
      <c r="E19" s="56">
        <v>8</v>
      </c>
    </row>
    <row r="20" spans="1:6">
      <c r="A20" s="55" t="s">
        <v>3954</v>
      </c>
      <c r="B20" s="56" t="s">
        <v>575</v>
      </c>
      <c r="C20" s="55" t="s">
        <v>3955</v>
      </c>
      <c r="D20" s="55" t="s">
        <v>2906</v>
      </c>
      <c r="E20" s="56">
        <v>16</v>
      </c>
    </row>
    <row r="21" spans="1:6">
      <c r="A21" s="55" t="s">
        <v>3956</v>
      </c>
      <c r="B21" s="56" t="s">
        <v>581</v>
      </c>
      <c r="C21" s="55" t="s">
        <v>3957</v>
      </c>
      <c r="D21" s="55" t="s">
        <v>3958</v>
      </c>
      <c r="E21" s="56">
        <v>16</v>
      </c>
    </row>
    <row r="22" spans="1:6">
      <c r="A22" s="55" t="s">
        <v>3959</v>
      </c>
      <c r="B22" s="56" t="s">
        <v>587</v>
      </c>
      <c r="C22" s="55" t="s">
        <v>3960</v>
      </c>
      <c r="D22" s="55" t="s">
        <v>3961</v>
      </c>
      <c r="E22" s="56">
        <v>16</v>
      </c>
    </row>
    <row r="23" spans="1:6">
      <c r="A23" s="55" t="s">
        <v>3962</v>
      </c>
      <c r="B23" s="56" t="s">
        <v>591</v>
      </c>
      <c r="C23" s="55" t="s">
        <v>3963</v>
      </c>
      <c r="D23" s="55" t="s">
        <v>3478</v>
      </c>
      <c r="E23" s="56">
        <v>8</v>
      </c>
    </row>
    <row r="24" spans="1:6">
      <c r="A24" s="55"/>
      <c r="B24" s="56"/>
      <c r="C24" s="55"/>
      <c r="D24" s="55"/>
      <c r="E24" s="56"/>
    </row>
    <row r="25" spans="1:6">
      <c r="A25" s="55" t="s">
        <v>3964</v>
      </c>
      <c r="B25" s="56" t="s">
        <v>521</v>
      </c>
      <c r="C25" s="55" t="s">
        <v>3965</v>
      </c>
      <c r="D25" s="55" t="s">
        <v>3966</v>
      </c>
      <c r="E25" s="56">
        <v>16</v>
      </c>
      <c r="F25" t="s">
        <v>3967</v>
      </c>
    </row>
    <row r="26" spans="1:6">
      <c r="A26" s="55"/>
      <c r="B26" s="56" t="s">
        <v>529</v>
      </c>
      <c r="C26" s="55" t="s">
        <v>3968</v>
      </c>
      <c r="D26" s="55" t="s">
        <v>3928</v>
      </c>
      <c r="E26" s="56">
        <v>16</v>
      </c>
      <c r="F26" t="s">
        <v>3969</v>
      </c>
    </row>
    <row r="27" spans="1:6">
      <c r="A27" s="55"/>
      <c r="B27" s="56" t="s">
        <v>536</v>
      </c>
      <c r="C27" s="55" t="s">
        <v>3931</v>
      </c>
      <c r="D27" s="55" t="s">
        <v>3932</v>
      </c>
      <c r="E27" s="56">
        <v>16</v>
      </c>
    </row>
    <row r="28" spans="1:6">
      <c r="A28" s="55"/>
      <c r="B28" s="56" t="s">
        <v>544</v>
      </c>
      <c r="C28" s="55" t="s">
        <v>3934</v>
      </c>
      <c r="D28" s="55" t="s">
        <v>3935</v>
      </c>
      <c r="E28" s="56">
        <v>8</v>
      </c>
    </row>
    <row r="29" spans="1:6">
      <c r="A29" s="55"/>
      <c r="B29" s="56" t="s">
        <v>548</v>
      </c>
      <c r="C29" s="55" t="s">
        <v>3937</v>
      </c>
      <c r="D29" s="55" t="s">
        <v>3970</v>
      </c>
      <c r="E29" s="56">
        <v>8</v>
      </c>
    </row>
    <row r="30" spans="1:6">
      <c r="A30" s="55"/>
      <c r="B30" s="56" t="s">
        <v>551</v>
      </c>
      <c r="C30" s="55" t="s">
        <v>3940</v>
      </c>
      <c r="D30" s="55" t="s">
        <v>3971</v>
      </c>
      <c r="E30" s="56">
        <v>8</v>
      </c>
    </row>
    <row r="31" spans="1:6">
      <c r="A31" s="55"/>
      <c r="B31" s="56" t="s">
        <v>554</v>
      </c>
      <c r="C31" s="55" t="s">
        <v>3942</v>
      </c>
      <c r="D31" s="55" t="s">
        <v>3938</v>
      </c>
      <c r="E31" s="56">
        <v>8</v>
      </c>
    </row>
    <row r="32" spans="1:6">
      <c r="A32" s="55"/>
      <c r="B32" s="56" t="s">
        <v>557</v>
      </c>
      <c r="C32" s="55" t="s">
        <v>2906</v>
      </c>
      <c r="D32" s="55" t="s">
        <v>2906</v>
      </c>
      <c r="E32" s="56">
        <v>16</v>
      </c>
    </row>
    <row r="33" spans="1:5">
      <c r="A33" s="55"/>
      <c r="B33" s="56" t="s">
        <v>563</v>
      </c>
      <c r="C33" s="55" t="s">
        <v>3946</v>
      </c>
      <c r="D33" s="55" t="s">
        <v>3478</v>
      </c>
      <c r="E33" s="56">
        <v>8</v>
      </c>
    </row>
    <row r="34" spans="1:5">
      <c r="A34" s="55"/>
      <c r="B34" s="56" t="s">
        <v>1183</v>
      </c>
      <c r="C34" s="55"/>
      <c r="D34" s="55" t="s">
        <v>3478</v>
      </c>
      <c r="E34" s="56">
        <v>8</v>
      </c>
    </row>
    <row r="35" spans="1:5" ht="45">
      <c r="A35" s="55"/>
      <c r="B35" s="56" t="s">
        <v>569</v>
      </c>
      <c r="C35" s="57" t="s">
        <v>3949</v>
      </c>
      <c r="D35" s="55" t="s">
        <v>3950</v>
      </c>
      <c r="E35" s="56">
        <v>8</v>
      </c>
    </row>
    <row r="36" spans="1:5">
      <c r="A36" s="55"/>
      <c r="B36" s="56" t="s">
        <v>572</v>
      </c>
      <c r="C36" s="55" t="s">
        <v>3972</v>
      </c>
      <c r="D36" s="55" t="s">
        <v>3953</v>
      </c>
      <c r="E36" s="56">
        <v>8</v>
      </c>
    </row>
    <row r="37" spans="1:5">
      <c r="A37" s="55"/>
      <c r="B37" s="56" t="s">
        <v>575</v>
      </c>
      <c r="C37" s="55" t="s">
        <v>3955</v>
      </c>
      <c r="D37" s="55" t="s">
        <v>2906</v>
      </c>
      <c r="E37" s="56">
        <v>16</v>
      </c>
    </row>
    <row r="38" spans="1:5">
      <c r="A38" s="55"/>
      <c r="B38" s="56" t="s">
        <v>581</v>
      </c>
      <c r="C38" s="55" t="s">
        <v>3973</v>
      </c>
      <c r="D38" s="55" t="s">
        <v>3958</v>
      </c>
      <c r="E38" s="56">
        <v>16</v>
      </c>
    </row>
    <row r="39" spans="1:5">
      <c r="A39" s="55"/>
      <c r="B39" s="56" t="s">
        <v>587</v>
      </c>
      <c r="C39" s="55" t="s">
        <v>3960</v>
      </c>
      <c r="D39" s="55" t="s">
        <v>3961</v>
      </c>
      <c r="E39" s="56">
        <v>16</v>
      </c>
    </row>
    <row r="40" spans="1:5">
      <c r="A40" s="55"/>
      <c r="B40" s="56" t="s">
        <v>591</v>
      </c>
      <c r="C40" s="55" t="s">
        <v>3963</v>
      </c>
      <c r="D40" s="55" t="s">
        <v>3478</v>
      </c>
      <c r="E40" s="56">
        <v>8</v>
      </c>
    </row>
    <row r="41" spans="1:5">
      <c r="A41" s="55"/>
      <c r="B41" s="56"/>
      <c r="C41" s="55"/>
      <c r="D41" s="55"/>
      <c r="E41" s="56"/>
    </row>
    <row r="42" spans="1:5">
      <c r="A42" s="55" t="s">
        <v>3974</v>
      </c>
      <c r="B42" s="56" t="s">
        <v>521</v>
      </c>
      <c r="C42" s="55" t="s">
        <v>3975</v>
      </c>
      <c r="D42" s="55" t="s">
        <v>3924</v>
      </c>
      <c r="E42" s="56">
        <v>16</v>
      </c>
    </row>
    <row r="43" spans="1:5">
      <c r="A43" s="55"/>
      <c r="B43" s="56" t="s">
        <v>529</v>
      </c>
      <c r="C43" s="55" t="s">
        <v>3968</v>
      </c>
      <c r="D43" s="55" t="s">
        <v>3976</v>
      </c>
      <c r="E43" s="56">
        <v>16</v>
      </c>
    </row>
    <row r="44" spans="1:5">
      <c r="A44" s="55"/>
      <c r="B44" s="56" t="s">
        <v>536</v>
      </c>
      <c r="C44" s="55" t="s">
        <v>3931</v>
      </c>
      <c r="D44" s="55" t="s">
        <v>3932</v>
      </c>
      <c r="E44" s="56">
        <v>16</v>
      </c>
    </row>
    <row r="45" spans="1:5">
      <c r="A45" s="55"/>
      <c r="B45" s="56" t="s">
        <v>544</v>
      </c>
      <c r="C45" s="55" t="s">
        <v>3934</v>
      </c>
      <c r="D45" s="55" t="s">
        <v>3971</v>
      </c>
      <c r="E45" s="56">
        <v>8</v>
      </c>
    </row>
    <row r="46" spans="1:5">
      <c r="A46" s="55"/>
      <c r="B46" s="56" t="s">
        <v>548</v>
      </c>
      <c r="C46" s="55" t="s">
        <v>3937</v>
      </c>
      <c r="D46" s="55" t="s">
        <v>3977</v>
      </c>
      <c r="E46" s="56">
        <v>8</v>
      </c>
    </row>
    <row r="47" spans="1:5">
      <c r="A47" s="55"/>
      <c r="B47" s="56" t="s">
        <v>551</v>
      </c>
      <c r="C47" s="55" t="s">
        <v>3940</v>
      </c>
      <c r="D47" s="55" t="s">
        <v>3943</v>
      </c>
      <c r="E47" s="56">
        <v>8</v>
      </c>
    </row>
    <row r="48" spans="1:5">
      <c r="A48" s="55"/>
      <c r="B48" s="56" t="s">
        <v>554</v>
      </c>
      <c r="C48" s="55" t="s">
        <v>3942</v>
      </c>
      <c r="D48" s="55" t="s">
        <v>3970</v>
      </c>
      <c r="E48" s="56">
        <v>8</v>
      </c>
    </row>
    <row r="49" spans="1:5">
      <c r="A49" s="55"/>
      <c r="B49" s="56" t="s">
        <v>557</v>
      </c>
      <c r="C49" s="55" t="s">
        <v>2906</v>
      </c>
      <c r="D49" s="55" t="s">
        <v>2906</v>
      </c>
      <c r="E49" s="56">
        <v>16</v>
      </c>
    </row>
    <row r="50" spans="1:5">
      <c r="A50" s="55"/>
      <c r="B50" s="56" t="s">
        <v>563</v>
      </c>
      <c r="C50" s="55" t="s">
        <v>3946</v>
      </c>
      <c r="D50" s="55" t="s">
        <v>3478</v>
      </c>
      <c r="E50" s="56">
        <v>8</v>
      </c>
    </row>
    <row r="51" spans="1:5">
      <c r="A51" s="55"/>
      <c r="B51" s="56" t="s">
        <v>1183</v>
      </c>
      <c r="C51" s="55"/>
      <c r="D51" s="55" t="s">
        <v>3478</v>
      </c>
      <c r="E51" s="56">
        <v>8</v>
      </c>
    </row>
    <row r="52" spans="1:5" ht="45">
      <c r="A52" s="55"/>
      <c r="B52" s="56" t="s">
        <v>569</v>
      </c>
      <c r="C52" s="57" t="s">
        <v>3949</v>
      </c>
      <c r="D52" s="55" t="s">
        <v>3950</v>
      </c>
      <c r="E52" s="56">
        <v>8</v>
      </c>
    </row>
    <row r="53" spans="1:5">
      <c r="A53" s="55"/>
      <c r="B53" s="56" t="s">
        <v>572</v>
      </c>
      <c r="C53" s="55" t="s">
        <v>3972</v>
      </c>
      <c r="D53" s="55" t="s">
        <v>3953</v>
      </c>
      <c r="E53" s="56">
        <v>8</v>
      </c>
    </row>
    <row r="54" spans="1:5">
      <c r="A54" s="55"/>
      <c r="B54" s="56" t="s">
        <v>575</v>
      </c>
      <c r="C54" s="55" t="s">
        <v>3955</v>
      </c>
      <c r="D54" s="55" t="s">
        <v>2906</v>
      </c>
      <c r="E54" s="56">
        <v>16</v>
      </c>
    </row>
    <row r="55" spans="1:5">
      <c r="A55" s="55"/>
      <c r="B55" s="56" t="s">
        <v>581</v>
      </c>
      <c r="C55" s="55" t="s">
        <v>3973</v>
      </c>
      <c r="D55" s="55" t="s">
        <v>3958</v>
      </c>
      <c r="E55" s="56">
        <v>16</v>
      </c>
    </row>
    <row r="56" spans="1:5">
      <c r="A56" s="55"/>
      <c r="B56" s="56" t="s">
        <v>587</v>
      </c>
      <c r="C56" s="55" t="s">
        <v>3960</v>
      </c>
      <c r="D56" s="55" t="s">
        <v>3961</v>
      </c>
      <c r="E56" s="56">
        <v>16</v>
      </c>
    </row>
    <row r="57" spans="1:5">
      <c r="A57" s="55"/>
      <c r="B57" s="56" t="s">
        <v>591</v>
      </c>
      <c r="C57" s="55" t="s">
        <v>3963</v>
      </c>
      <c r="D57" s="55" t="s">
        <v>3478</v>
      </c>
      <c r="E57" s="56">
        <v>8</v>
      </c>
    </row>
    <row r="58" spans="1:5">
      <c r="A58" s="55"/>
      <c r="B58" s="56"/>
      <c r="C58" s="55"/>
      <c r="D58" s="55"/>
      <c r="E58" s="56"/>
    </row>
    <row r="59" spans="1:5">
      <c r="A59" s="55" t="s">
        <v>3978</v>
      </c>
      <c r="B59" s="56" t="s">
        <v>521</v>
      </c>
      <c r="C59" s="55" t="s">
        <v>3979</v>
      </c>
      <c r="D59" s="55" t="s">
        <v>3966</v>
      </c>
      <c r="E59" s="56">
        <v>16</v>
      </c>
    </row>
    <row r="60" spans="1:5">
      <c r="A60" s="55"/>
      <c r="B60" s="56" t="s">
        <v>529</v>
      </c>
      <c r="C60" s="55" t="s">
        <v>3968</v>
      </c>
      <c r="D60" s="55" t="s">
        <v>3976</v>
      </c>
      <c r="E60" s="56">
        <v>16</v>
      </c>
    </row>
    <row r="61" spans="1:5">
      <c r="A61" s="55"/>
      <c r="B61" s="56" t="s">
        <v>536</v>
      </c>
      <c r="C61" s="55" t="s">
        <v>3931</v>
      </c>
      <c r="D61" s="55" t="s">
        <v>3932</v>
      </c>
      <c r="E61" s="56">
        <v>16</v>
      </c>
    </row>
    <row r="62" spans="1:5">
      <c r="A62" s="55"/>
      <c r="B62" s="56" t="s">
        <v>544</v>
      </c>
      <c r="C62" s="55" t="s">
        <v>3934</v>
      </c>
      <c r="D62" s="55" t="s">
        <v>3943</v>
      </c>
      <c r="E62" s="56">
        <v>8</v>
      </c>
    </row>
    <row r="63" spans="1:5">
      <c r="A63" s="55"/>
      <c r="B63" s="56" t="s">
        <v>548</v>
      </c>
      <c r="C63" s="55" t="s">
        <v>3937</v>
      </c>
      <c r="D63" s="55" t="s">
        <v>3980</v>
      </c>
      <c r="E63" s="56">
        <v>8</v>
      </c>
    </row>
    <row r="64" spans="1:5">
      <c r="A64" s="55"/>
      <c r="B64" s="56" t="s">
        <v>551</v>
      </c>
      <c r="C64" s="55" t="s">
        <v>3940</v>
      </c>
      <c r="D64" s="55" t="s">
        <v>3938</v>
      </c>
      <c r="E64" s="56">
        <v>8</v>
      </c>
    </row>
    <row r="65" spans="1:6">
      <c r="A65" s="55"/>
      <c r="B65" s="56" t="s">
        <v>554</v>
      </c>
      <c r="C65" s="55" t="s">
        <v>3942</v>
      </c>
      <c r="D65" s="55" t="s">
        <v>3977</v>
      </c>
      <c r="E65" s="56">
        <v>8</v>
      </c>
    </row>
    <row r="66" spans="1:6">
      <c r="A66" s="55"/>
      <c r="B66" s="56" t="s">
        <v>557</v>
      </c>
      <c r="C66" s="55" t="s">
        <v>2906</v>
      </c>
      <c r="D66" s="55" t="s">
        <v>2906</v>
      </c>
      <c r="E66" s="56">
        <v>16</v>
      </c>
    </row>
    <row r="67" spans="1:6">
      <c r="A67" s="55"/>
      <c r="B67" s="56" t="s">
        <v>563</v>
      </c>
      <c r="C67" s="55" t="s">
        <v>3946</v>
      </c>
      <c r="D67" s="55" t="s">
        <v>3478</v>
      </c>
      <c r="E67" s="56">
        <v>8</v>
      </c>
    </row>
    <row r="68" spans="1:6">
      <c r="A68" s="55"/>
      <c r="B68" s="56" t="s">
        <v>1183</v>
      </c>
      <c r="C68" s="55"/>
      <c r="D68" s="55" t="s">
        <v>3478</v>
      </c>
      <c r="E68" s="56">
        <v>8</v>
      </c>
    </row>
    <row r="69" spans="1:6" ht="45">
      <c r="A69" s="55"/>
      <c r="B69" s="56" t="s">
        <v>569</v>
      </c>
      <c r="C69" s="57" t="s">
        <v>3949</v>
      </c>
      <c r="D69" s="55" t="s">
        <v>3950</v>
      </c>
      <c r="E69" s="56">
        <v>8</v>
      </c>
    </row>
    <row r="70" spans="1:6">
      <c r="A70" s="55"/>
      <c r="B70" s="56" t="s">
        <v>572</v>
      </c>
      <c r="C70" s="55" t="s">
        <v>3972</v>
      </c>
      <c r="D70" s="55" t="s">
        <v>3953</v>
      </c>
      <c r="E70" s="56">
        <v>8</v>
      </c>
    </row>
    <row r="71" spans="1:6">
      <c r="A71" s="55"/>
      <c r="B71" s="56" t="s">
        <v>575</v>
      </c>
      <c r="C71" s="55" t="s">
        <v>3955</v>
      </c>
      <c r="D71" s="55" t="s">
        <v>2906</v>
      </c>
      <c r="E71" s="56">
        <v>16</v>
      </c>
    </row>
    <row r="72" spans="1:6">
      <c r="A72" s="55"/>
      <c r="B72" s="56" t="s">
        <v>581</v>
      </c>
      <c r="C72" s="55" t="s">
        <v>3973</v>
      </c>
      <c r="D72" s="55" t="s">
        <v>3958</v>
      </c>
      <c r="E72" s="56">
        <v>16</v>
      </c>
    </row>
    <row r="73" spans="1:6">
      <c r="A73" s="55"/>
      <c r="B73" s="56" t="s">
        <v>587</v>
      </c>
      <c r="C73" s="55" t="s">
        <v>3960</v>
      </c>
      <c r="D73" s="55" t="s">
        <v>3961</v>
      </c>
      <c r="E73" s="56">
        <v>16</v>
      </c>
    </row>
    <row r="74" spans="1:6">
      <c r="A74" s="55"/>
      <c r="B74" s="56" t="s">
        <v>591</v>
      </c>
      <c r="C74" s="55" t="s">
        <v>3963</v>
      </c>
      <c r="D74" s="55" t="s">
        <v>3478</v>
      </c>
      <c r="E74" s="56">
        <v>8</v>
      </c>
    </row>
    <row r="75" spans="1:6">
      <c r="A75" s="55"/>
      <c r="B75" s="56"/>
      <c r="C75" s="55"/>
      <c r="D75" s="55"/>
      <c r="E75" s="56"/>
    </row>
    <row r="76" spans="1:6">
      <c r="A76" s="55" t="s">
        <v>3981</v>
      </c>
      <c r="B76" s="56" t="s">
        <v>521</v>
      </c>
      <c r="C76" s="55" t="s">
        <v>3982</v>
      </c>
      <c r="D76" s="55" t="s">
        <v>3924</v>
      </c>
      <c r="E76" s="56">
        <v>16</v>
      </c>
      <c r="F76" t="s">
        <v>3983</v>
      </c>
    </row>
    <row r="77" spans="1:6">
      <c r="A77" s="55"/>
      <c r="B77" s="56" t="s">
        <v>529</v>
      </c>
      <c r="C77" s="55" t="s">
        <v>3968</v>
      </c>
      <c r="D77" s="55" t="s">
        <v>3984</v>
      </c>
      <c r="E77" s="56">
        <v>16</v>
      </c>
      <c r="F77" t="s">
        <v>3985</v>
      </c>
    </row>
    <row r="78" spans="1:6">
      <c r="A78" s="55"/>
      <c r="B78" s="56" t="s">
        <v>536</v>
      </c>
      <c r="C78" s="55" t="s">
        <v>3931</v>
      </c>
      <c r="D78" s="55" t="s">
        <v>3932</v>
      </c>
      <c r="E78" s="56">
        <v>16</v>
      </c>
    </row>
    <row r="79" spans="1:6">
      <c r="A79" s="55"/>
      <c r="B79" s="56" t="s">
        <v>544</v>
      </c>
      <c r="C79" s="55" t="s">
        <v>3934</v>
      </c>
      <c r="D79" s="55" t="s">
        <v>3938</v>
      </c>
      <c r="E79" s="56">
        <v>8</v>
      </c>
    </row>
    <row r="80" spans="1:6">
      <c r="A80" s="55"/>
      <c r="B80" s="56" t="s">
        <v>548</v>
      </c>
      <c r="C80" s="55" t="s">
        <v>3937</v>
      </c>
      <c r="D80" s="55" t="s">
        <v>3986</v>
      </c>
      <c r="E80" s="56">
        <v>8</v>
      </c>
    </row>
    <row r="81" spans="1:6">
      <c r="A81" s="55"/>
      <c r="B81" s="56" t="s">
        <v>551</v>
      </c>
      <c r="C81" s="55" t="s">
        <v>3940</v>
      </c>
      <c r="D81" s="55" t="s">
        <v>3970</v>
      </c>
      <c r="E81" s="56">
        <v>8</v>
      </c>
    </row>
    <row r="82" spans="1:6">
      <c r="A82" s="55"/>
      <c r="B82" s="56" t="s">
        <v>554</v>
      </c>
      <c r="C82" s="55" t="s">
        <v>3942</v>
      </c>
      <c r="D82" s="55" t="s">
        <v>3980</v>
      </c>
      <c r="E82" s="56">
        <v>8</v>
      </c>
    </row>
    <row r="83" spans="1:6">
      <c r="A83" s="55"/>
      <c r="B83" s="56" t="s">
        <v>557</v>
      </c>
      <c r="C83" s="55" t="s">
        <v>2906</v>
      </c>
      <c r="D83" s="55" t="s">
        <v>2906</v>
      </c>
      <c r="E83" s="56">
        <v>16</v>
      </c>
    </row>
    <row r="84" spans="1:6">
      <c r="A84" s="55"/>
      <c r="B84" s="56" t="s">
        <v>563</v>
      </c>
      <c r="C84" s="55" t="s">
        <v>3946</v>
      </c>
      <c r="D84" s="55" t="s">
        <v>3478</v>
      </c>
      <c r="E84" s="56">
        <v>8</v>
      </c>
    </row>
    <row r="85" spans="1:6">
      <c r="A85" s="55"/>
      <c r="B85" s="56" t="s">
        <v>1183</v>
      </c>
      <c r="C85" s="55"/>
      <c r="D85" s="55" t="s">
        <v>3478</v>
      </c>
      <c r="E85" s="56">
        <v>8</v>
      </c>
    </row>
    <row r="86" spans="1:6" ht="45">
      <c r="A86" s="55"/>
      <c r="B86" s="56" t="s">
        <v>569</v>
      </c>
      <c r="C86" s="57" t="s">
        <v>3949</v>
      </c>
      <c r="D86" s="55" t="s">
        <v>3950</v>
      </c>
      <c r="E86" s="56">
        <v>8</v>
      </c>
    </row>
    <row r="87" spans="1:6">
      <c r="A87" s="55"/>
      <c r="B87" s="56" t="s">
        <v>572</v>
      </c>
      <c r="C87" s="55" t="s">
        <v>3972</v>
      </c>
      <c r="D87" s="55" t="s">
        <v>3953</v>
      </c>
      <c r="E87" s="56">
        <v>8</v>
      </c>
    </row>
    <row r="88" spans="1:6">
      <c r="A88" s="55"/>
      <c r="B88" s="56" t="s">
        <v>575</v>
      </c>
      <c r="C88" s="55" t="s">
        <v>3955</v>
      </c>
      <c r="D88" s="55" t="s">
        <v>2906</v>
      </c>
      <c r="E88" s="56">
        <v>16</v>
      </c>
    </row>
    <row r="89" spans="1:6">
      <c r="A89" s="55"/>
      <c r="B89" s="56" t="s">
        <v>581</v>
      </c>
      <c r="C89" s="55" t="s">
        <v>3973</v>
      </c>
      <c r="D89" s="55" t="s">
        <v>3958</v>
      </c>
      <c r="E89" s="56">
        <v>16</v>
      </c>
    </row>
    <row r="90" spans="1:6">
      <c r="A90" s="55"/>
      <c r="B90" s="56" t="s">
        <v>587</v>
      </c>
      <c r="C90" s="55" t="s">
        <v>3960</v>
      </c>
      <c r="D90" s="55" t="s">
        <v>3961</v>
      </c>
      <c r="E90" s="56">
        <v>16</v>
      </c>
    </row>
    <row r="91" spans="1:6">
      <c r="A91" s="55"/>
      <c r="B91" s="56" t="s">
        <v>591</v>
      </c>
      <c r="C91" s="55" t="s">
        <v>3963</v>
      </c>
      <c r="D91" s="55" t="s">
        <v>3478</v>
      </c>
      <c r="E91" s="56">
        <v>8</v>
      </c>
    </row>
    <row r="92" spans="1:6">
      <c r="A92" s="55"/>
      <c r="B92" s="56"/>
      <c r="C92" s="55"/>
      <c r="D92" s="55"/>
      <c r="E92" s="56"/>
    </row>
    <row r="93" spans="1:6">
      <c r="A93" s="55" t="s">
        <v>3987</v>
      </c>
      <c r="B93" s="56" t="s">
        <v>521</v>
      </c>
      <c r="C93" s="55" t="s">
        <v>3988</v>
      </c>
      <c r="D93" s="55" t="s">
        <v>3966</v>
      </c>
      <c r="E93" s="56">
        <v>16</v>
      </c>
      <c r="F93" t="s">
        <v>3989</v>
      </c>
    </row>
    <row r="94" spans="1:6">
      <c r="A94" s="55"/>
      <c r="B94" s="56" t="s">
        <v>529</v>
      </c>
      <c r="C94" s="55" t="s">
        <v>3968</v>
      </c>
      <c r="D94" s="55" t="s">
        <v>3984</v>
      </c>
      <c r="E94" s="56">
        <v>16</v>
      </c>
      <c r="F94" t="s">
        <v>3990</v>
      </c>
    </row>
    <row r="95" spans="1:6">
      <c r="A95" s="55"/>
      <c r="B95" s="56" t="s">
        <v>536</v>
      </c>
      <c r="C95" s="55" t="s">
        <v>3931</v>
      </c>
      <c r="D95" s="55" t="s">
        <v>3932</v>
      </c>
      <c r="E95" s="56">
        <v>16</v>
      </c>
    </row>
    <row r="96" spans="1:6">
      <c r="A96" s="55"/>
      <c r="B96" s="56" t="s">
        <v>544</v>
      </c>
      <c r="C96" s="55" t="s">
        <v>3934</v>
      </c>
      <c r="D96" s="55" t="s">
        <v>3970</v>
      </c>
      <c r="E96" s="56">
        <v>8</v>
      </c>
    </row>
    <row r="97" spans="1:6">
      <c r="A97" s="55"/>
      <c r="B97" s="56" t="s">
        <v>548</v>
      </c>
      <c r="C97" s="55" t="s">
        <v>3937</v>
      </c>
      <c r="D97" s="55" t="s">
        <v>3991</v>
      </c>
      <c r="E97" s="56">
        <v>8</v>
      </c>
    </row>
    <row r="98" spans="1:6">
      <c r="A98" s="55"/>
      <c r="B98" s="56" t="s">
        <v>551</v>
      </c>
      <c r="C98" s="55" t="s">
        <v>3940</v>
      </c>
      <c r="D98" s="55" t="s">
        <v>3977</v>
      </c>
      <c r="E98" s="56">
        <v>8</v>
      </c>
    </row>
    <row r="99" spans="1:6">
      <c r="A99" s="55"/>
      <c r="B99" s="56" t="s">
        <v>554</v>
      </c>
      <c r="C99" s="55" t="s">
        <v>3942</v>
      </c>
      <c r="D99" s="55" t="s">
        <v>3986</v>
      </c>
      <c r="E99" s="56">
        <v>8</v>
      </c>
    </row>
    <row r="100" spans="1:6">
      <c r="A100" s="55"/>
      <c r="B100" s="56" t="s">
        <v>557</v>
      </c>
      <c r="C100" s="55" t="s">
        <v>2906</v>
      </c>
      <c r="D100" s="55" t="s">
        <v>2906</v>
      </c>
      <c r="E100" s="56">
        <v>16</v>
      </c>
    </row>
    <row r="101" spans="1:6">
      <c r="A101" s="55"/>
      <c r="B101" s="56" t="s">
        <v>563</v>
      </c>
      <c r="C101" s="55" t="s">
        <v>3946</v>
      </c>
      <c r="D101" s="55" t="s">
        <v>3478</v>
      </c>
      <c r="E101" s="56">
        <v>8</v>
      </c>
    </row>
    <row r="102" spans="1:6">
      <c r="A102" s="55"/>
      <c r="B102" s="56" t="s">
        <v>1183</v>
      </c>
      <c r="C102" s="55"/>
      <c r="D102" s="55" t="s">
        <v>3478</v>
      </c>
      <c r="E102" s="56">
        <v>8</v>
      </c>
    </row>
    <row r="103" spans="1:6" ht="45">
      <c r="A103" s="55"/>
      <c r="B103" s="56" t="s">
        <v>569</v>
      </c>
      <c r="C103" s="57" t="s">
        <v>3949</v>
      </c>
      <c r="D103" s="55" t="s">
        <v>3950</v>
      </c>
      <c r="E103" s="56">
        <v>8</v>
      </c>
    </row>
    <row r="104" spans="1:6">
      <c r="A104" s="55"/>
      <c r="B104" s="56" t="s">
        <v>572</v>
      </c>
      <c r="C104" s="55" t="s">
        <v>3972</v>
      </c>
      <c r="D104" s="55" t="s">
        <v>3953</v>
      </c>
      <c r="E104" s="56">
        <v>8</v>
      </c>
    </row>
    <row r="105" spans="1:6">
      <c r="A105" s="55"/>
      <c r="B105" s="56" t="s">
        <v>575</v>
      </c>
      <c r="C105" s="55" t="s">
        <v>3955</v>
      </c>
      <c r="D105" s="55" t="s">
        <v>2906</v>
      </c>
      <c r="E105" s="56">
        <v>16</v>
      </c>
    </row>
    <row r="106" spans="1:6">
      <c r="A106" s="55"/>
      <c r="B106" s="56" t="s">
        <v>581</v>
      </c>
      <c r="C106" s="55" t="s">
        <v>3973</v>
      </c>
      <c r="D106" s="55" t="s">
        <v>3958</v>
      </c>
      <c r="E106" s="56">
        <v>16</v>
      </c>
    </row>
    <row r="107" spans="1:6">
      <c r="A107" s="55"/>
      <c r="B107" s="56" t="s">
        <v>587</v>
      </c>
      <c r="C107" s="55" t="s">
        <v>3960</v>
      </c>
      <c r="D107" s="55" t="s">
        <v>3961</v>
      </c>
      <c r="E107" s="56">
        <v>16</v>
      </c>
    </row>
    <row r="108" spans="1:6">
      <c r="A108" s="55"/>
      <c r="B108" s="56" t="s">
        <v>591</v>
      </c>
      <c r="C108" s="55" t="s">
        <v>3963</v>
      </c>
      <c r="D108" s="55" t="s">
        <v>3478</v>
      </c>
      <c r="E108" s="56">
        <v>8</v>
      </c>
    </row>
    <row r="109" spans="1:6">
      <c r="A109" s="55"/>
      <c r="B109" s="56"/>
      <c r="C109" s="55"/>
      <c r="D109" s="55"/>
      <c r="E109" s="56"/>
    </row>
    <row r="110" spans="1:6">
      <c r="A110" s="55" t="s">
        <v>3992</v>
      </c>
      <c r="B110" s="56" t="s">
        <v>521</v>
      </c>
      <c r="C110" s="55" t="s">
        <v>3993</v>
      </c>
      <c r="D110" s="55" t="s">
        <v>3924</v>
      </c>
      <c r="E110" s="56">
        <v>16</v>
      </c>
      <c r="F110" t="s">
        <v>3994</v>
      </c>
    </row>
    <row r="111" spans="1:6">
      <c r="A111" s="55"/>
      <c r="B111" s="56" t="s">
        <v>529</v>
      </c>
      <c r="C111" s="55" t="s">
        <v>3968</v>
      </c>
      <c r="D111" s="55" t="s">
        <v>3995</v>
      </c>
      <c r="E111" s="56">
        <v>16</v>
      </c>
    </row>
    <row r="112" spans="1:6">
      <c r="A112" s="55"/>
      <c r="B112" s="56"/>
      <c r="C112" s="55"/>
      <c r="D112" s="55"/>
      <c r="E112" s="56"/>
    </row>
    <row r="113" spans="1:6">
      <c r="A113" s="55" t="s">
        <v>3996</v>
      </c>
      <c r="B113" s="56" t="s">
        <v>521</v>
      </c>
      <c r="C113" s="55" t="s">
        <v>3997</v>
      </c>
      <c r="D113" s="55" t="s">
        <v>3966</v>
      </c>
      <c r="E113" s="56">
        <v>16</v>
      </c>
      <c r="F113" t="s">
        <v>3998</v>
      </c>
    </row>
    <row r="114" spans="1:6">
      <c r="A114" s="55"/>
      <c r="B114" s="56" t="s">
        <v>529</v>
      </c>
      <c r="C114" s="55" t="s">
        <v>3968</v>
      </c>
      <c r="D114" s="55" t="s">
        <v>3995</v>
      </c>
      <c r="E114" s="56">
        <v>16</v>
      </c>
      <c r="F114" t="s">
        <v>3999</v>
      </c>
    </row>
    <row r="115" spans="1:6">
      <c r="A115" s="55"/>
      <c r="B115" s="56"/>
      <c r="C115" s="55"/>
      <c r="D115" s="55"/>
      <c r="E115" s="56"/>
    </row>
    <row r="116" spans="1:6">
      <c r="A116" s="55" t="s">
        <v>4000</v>
      </c>
      <c r="B116" s="56" t="s">
        <v>521</v>
      </c>
      <c r="C116" s="55" t="s">
        <v>4001</v>
      </c>
      <c r="D116" s="55" t="s">
        <v>3924</v>
      </c>
      <c r="E116" s="56">
        <v>16</v>
      </c>
      <c r="F116" t="s">
        <v>4002</v>
      </c>
    </row>
    <row r="117" spans="1:6">
      <c r="A117" s="55"/>
      <c r="B117" s="56" t="s">
        <v>529</v>
      </c>
      <c r="C117" s="55" t="s">
        <v>3968</v>
      </c>
      <c r="D117" s="55" t="s">
        <v>4003</v>
      </c>
      <c r="E117" s="56">
        <v>16</v>
      </c>
      <c r="F117" t="s">
        <v>4004</v>
      </c>
    </row>
    <row r="118" spans="1:6">
      <c r="A118" s="55"/>
      <c r="B118" s="56"/>
      <c r="C118" s="55"/>
      <c r="D118" s="55"/>
      <c r="E118" s="56"/>
    </row>
    <row r="119" spans="1:6">
      <c r="A119" s="55" t="s">
        <v>4005</v>
      </c>
      <c r="B119" s="56" t="s">
        <v>521</v>
      </c>
      <c r="C119" s="55" t="s">
        <v>4006</v>
      </c>
      <c r="D119" s="55" t="s">
        <v>3966</v>
      </c>
      <c r="E119" s="56">
        <v>16</v>
      </c>
      <c r="F119" t="s">
        <v>4007</v>
      </c>
    </row>
    <row r="120" spans="1:6">
      <c r="A120" s="55"/>
      <c r="B120" s="56" t="s">
        <v>529</v>
      </c>
      <c r="C120" s="55" t="s">
        <v>3968</v>
      </c>
      <c r="D120" s="55" t="s">
        <v>4003</v>
      </c>
      <c r="E120" s="56">
        <v>16</v>
      </c>
    </row>
    <row r="121" spans="1:6">
      <c r="A121" s="55"/>
      <c r="B121" s="56"/>
      <c r="C121" s="55"/>
      <c r="D121" s="55"/>
      <c r="E121" s="56"/>
    </row>
    <row r="122" spans="1:6">
      <c r="A122" s="55" t="s">
        <v>4008</v>
      </c>
      <c r="B122" s="56" t="s">
        <v>521</v>
      </c>
      <c r="C122" s="55" t="s">
        <v>4009</v>
      </c>
      <c r="D122" s="55" t="s">
        <v>3924</v>
      </c>
      <c r="E122" s="56">
        <v>16</v>
      </c>
      <c r="F122" t="s">
        <v>4010</v>
      </c>
    </row>
    <row r="123" spans="1:6">
      <c r="A123" s="55"/>
      <c r="B123" s="56" t="s">
        <v>529</v>
      </c>
      <c r="C123" s="55" t="s">
        <v>3968</v>
      </c>
      <c r="D123" s="55" t="s">
        <v>4011</v>
      </c>
      <c r="E123" s="56">
        <v>16</v>
      </c>
      <c r="F123" t="s">
        <v>4012</v>
      </c>
    </row>
    <row r="124" spans="1:6">
      <c r="A124" s="55"/>
      <c r="B124" s="56"/>
      <c r="C124" s="55"/>
      <c r="D124" s="55"/>
      <c r="E124" s="56"/>
    </row>
    <row r="125" spans="1:6">
      <c r="A125" s="55" t="s">
        <v>4013</v>
      </c>
      <c r="B125" s="56" t="s">
        <v>521</v>
      </c>
      <c r="C125" s="55" t="s">
        <v>4014</v>
      </c>
      <c r="D125" s="55" t="s">
        <v>3966</v>
      </c>
      <c r="E125" s="56">
        <v>16</v>
      </c>
      <c r="F125" t="s">
        <v>4015</v>
      </c>
    </row>
    <row r="126" spans="1:6">
      <c r="A126" s="55"/>
      <c r="B126" s="56" t="s">
        <v>529</v>
      </c>
      <c r="C126" s="55" t="s">
        <v>3968</v>
      </c>
      <c r="D126" s="55" t="s">
        <v>4011</v>
      </c>
      <c r="E126" s="56">
        <v>16</v>
      </c>
      <c r="F126" t="s">
        <v>4016</v>
      </c>
    </row>
    <row r="127" spans="1:6">
      <c r="A127" s="55"/>
      <c r="B127" s="56"/>
      <c r="C127" s="55"/>
      <c r="D127" s="55"/>
      <c r="E127" s="56"/>
    </row>
    <row r="128" spans="1:6">
      <c r="A128" s="55" t="s">
        <v>4017</v>
      </c>
      <c r="B128" s="56" t="s">
        <v>521</v>
      </c>
      <c r="C128" s="55" t="s">
        <v>4018</v>
      </c>
      <c r="D128" s="55" t="s">
        <v>3924</v>
      </c>
      <c r="E128" s="56">
        <v>16</v>
      </c>
      <c r="F128" t="s">
        <v>4019</v>
      </c>
    </row>
    <row r="129" spans="1:5">
      <c r="A129" s="55"/>
      <c r="B129" s="56" t="s">
        <v>529</v>
      </c>
      <c r="C129" s="55" t="s">
        <v>3968</v>
      </c>
      <c r="D129" s="55" t="s">
        <v>4020</v>
      </c>
      <c r="E129" s="56">
        <v>16</v>
      </c>
    </row>
    <row r="130" spans="1:5">
      <c r="A130" s="55"/>
      <c r="B130" s="56" t="s">
        <v>536</v>
      </c>
      <c r="C130" s="55" t="s">
        <v>3931</v>
      </c>
      <c r="D130" s="55" t="s">
        <v>3932</v>
      </c>
      <c r="E130" s="56">
        <v>16</v>
      </c>
    </row>
    <row r="131" spans="1:5">
      <c r="A131" s="55"/>
      <c r="B131" s="56" t="s">
        <v>544</v>
      </c>
      <c r="C131" s="55" t="s">
        <v>3934</v>
      </c>
      <c r="D131" s="55" t="s">
        <v>4021</v>
      </c>
      <c r="E131" s="56">
        <v>8</v>
      </c>
    </row>
    <row r="132" spans="1:5">
      <c r="A132" s="55"/>
      <c r="B132" s="56" t="s">
        <v>548</v>
      </c>
      <c r="C132" s="55" t="s">
        <v>3937</v>
      </c>
      <c r="D132" s="55" t="s">
        <v>3971</v>
      </c>
      <c r="E132" s="56">
        <v>8</v>
      </c>
    </row>
    <row r="133" spans="1:5">
      <c r="A133" s="55"/>
      <c r="B133" s="56" t="s">
        <v>551</v>
      </c>
      <c r="C133" s="55" t="s">
        <v>3940</v>
      </c>
      <c r="D133" s="55" t="s">
        <v>4021</v>
      </c>
      <c r="E133" s="56">
        <v>8</v>
      </c>
    </row>
    <row r="134" spans="1:5">
      <c r="A134" s="55"/>
      <c r="B134" s="56" t="s">
        <v>554</v>
      </c>
      <c r="C134" s="55" t="s">
        <v>3942</v>
      </c>
      <c r="D134" s="55" t="s">
        <v>3971</v>
      </c>
      <c r="E134" s="56">
        <v>8</v>
      </c>
    </row>
    <row r="135" spans="1:5">
      <c r="A135" s="55"/>
      <c r="B135" s="56" t="s">
        <v>557</v>
      </c>
      <c r="C135" s="58" t="s">
        <v>4022</v>
      </c>
      <c r="D135" s="58" t="s">
        <v>4022</v>
      </c>
      <c r="E135" s="56">
        <v>16</v>
      </c>
    </row>
    <row r="136" spans="1:5">
      <c r="A136" s="55"/>
      <c r="B136" s="56" t="s">
        <v>563</v>
      </c>
      <c r="C136" s="55" t="s">
        <v>3946</v>
      </c>
      <c r="D136" s="55" t="s">
        <v>3478</v>
      </c>
      <c r="E136" s="56">
        <v>8</v>
      </c>
    </row>
    <row r="137" spans="1:5">
      <c r="A137" s="55"/>
      <c r="B137" s="56" t="s">
        <v>1183</v>
      </c>
      <c r="C137" s="55"/>
      <c r="D137" s="55" t="s">
        <v>3478</v>
      </c>
      <c r="E137" s="56">
        <v>8</v>
      </c>
    </row>
    <row r="138" spans="1:5" ht="45">
      <c r="A138" s="55"/>
      <c r="B138" s="56" t="s">
        <v>569</v>
      </c>
      <c r="C138" s="57" t="s">
        <v>3949</v>
      </c>
      <c r="D138" s="58" t="s">
        <v>3502</v>
      </c>
      <c r="E138" s="56">
        <v>8</v>
      </c>
    </row>
    <row r="139" spans="1:5">
      <c r="A139" s="55"/>
      <c r="B139" s="56" t="s">
        <v>572</v>
      </c>
      <c r="C139" s="55" t="s">
        <v>3972</v>
      </c>
      <c r="D139" s="58" t="s">
        <v>3478</v>
      </c>
      <c r="E139" s="56">
        <v>8</v>
      </c>
    </row>
    <row r="140" spans="1:5">
      <c r="A140" s="55"/>
      <c r="B140" s="56" t="s">
        <v>575</v>
      </c>
      <c r="C140" s="55" t="s">
        <v>3955</v>
      </c>
      <c r="D140" s="55" t="s">
        <v>2906</v>
      </c>
      <c r="E140" s="56">
        <v>16</v>
      </c>
    </row>
    <row r="141" spans="1:5">
      <c r="A141" s="55"/>
      <c r="B141" s="56" t="s">
        <v>581</v>
      </c>
      <c r="C141" s="58" t="s">
        <v>4023</v>
      </c>
      <c r="D141" s="58" t="s">
        <v>4024</v>
      </c>
      <c r="E141" s="56">
        <v>16</v>
      </c>
    </row>
    <row r="142" spans="1:5">
      <c r="A142" s="55"/>
      <c r="B142" s="56" t="s">
        <v>587</v>
      </c>
      <c r="C142" s="55" t="s">
        <v>3960</v>
      </c>
      <c r="D142" s="55" t="s">
        <v>3961</v>
      </c>
      <c r="E142" s="56">
        <v>16</v>
      </c>
    </row>
    <row r="143" spans="1:5">
      <c r="A143" s="55"/>
      <c r="B143" s="56" t="s">
        <v>591</v>
      </c>
      <c r="C143" s="55" t="s">
        <v>3963</v>
      </c>
      <c r="D143" s="55" t="s">
        <v>3478</v>
      </c>
      <c r="E143" s="56">
        <v>8</v>
      </c>
    </row>
    <row r="144" spans="1:5">
      <c r="A144" s="55"/>
      <c r="B144" s="56"/>
      <c r="C144" s="55"/>
      <c r="D144" s="55"/>
      <c r="E144" s="56"/>
    </row>
    <row r="145" spans="1:6">
      <c r="A145" s="55" t="s">
        <v>4025</v>
      </c>
      <c r="B145" s="56" t="s">
        <v>521</v>
      </c>
      <c r="C145" s="55" t="s">
        <v>4026</v>
      </c>
      <c r="D145" s="55" t="s">
        <v>3924</v>
      </c>
      <c r="E145" s="56">
        <v>16</v>
      </c>
      <c r="F145" t="s">
        <v>4027</v>
      </c>
    </row>
    <row r="146" spans="1:6">
      <c r="A146" s="55"/>
      <c r="B146" s="56" t="s">
        <v>529</v>
      </c>
      <c r="C146" s="55" t="s">
        <v>3968</v>
      </c>
      <c r="D146" s="55" t="s">
        <v>4028</v>
      </c>
      <c r="E146" s="56">
        <v>16</v>
      </c>
      <c r="F146" t="s">
        <v>4029</v>
      </c>
    </row>
    <row r="147" spans="1:6">
      <c r="A147" s="55"/>
      <c r="B147" s="56" t="s">
        <v>536</v>
      </c>
      <c r="C147" s="55" t="s">
        <v>3931</v>
      </c>
      <c r="D147" s="55" t="s">
        <v>3932</v>
      </c>
      <c r="E147" s="56">
        <v>16</v>
      </c>
    </row>
    <row r="148" spans="1:6">
      <c r="A148" s="55"/>
      <c r="B148" s="56" t="s">
        <v>544</v>
      </c>
      <c r="C148" s="55" t="s">
        <v>3934</v>
      </c>
      <c r="D148" s="55" t="s">
        <v>4030</v>
      </c>
      <c r="E148" s="56">
        <v>8</v>
      </c>
    </row>
    <row r="149" spans="1:6">
      <c r="A149" s="55"/>
      <c r="B149" s="56" t="s">
        <v>548</v>
      </c>
      <c r="C149" s="55" t="s">
        <v>3937</v>
      </c>
      <c r="D149" s="55" t="s">
        <v>3935</v>
      </c>
      <c r="E149" s="56">
        <v>8</v>
      </c>
    </row>
    <row r="150" spans="1:6">
      <c r="A150" s="55"/>
      <c r="B150" s="56" t="s">
        <v>551</v>
      </c>
      <c r="C150" s="55" t="s">
        <v>3940</v>
      </c>
      <c r="D150" s="55" t="s">
        <v>4031</v>
      </c>
      <c r="E150" s="56">
        <v>8</v>
      </c>
    </row>
    <row r="151" spans="1:6">
      <c r="A151" s="55"/>
      <c r="B151" s="56" t="s">
        <v>554</v>
      </c>
      <c r="C151" s="55" t="s">
        <v>3942</v>
      </c>
      <c r="D151" s="55" t="s">
        <v>3935</v>
      </c>
      <c r="E151" s="56">
        <v>8</v>
      </c>
    </row>
    <row r="152" spans="1:6">
      <c r="A152" s="55"/>
      <c r="B152" s="56" t="s">
        <v>557</v>
      </c>
      <c r="C152" s="58" t="s">
        <v>4032</v>
      </c>
      <c r="D152" s="58" t="s">
        <v>4032</v>
      </c>
      <c r="E152" s="56">
        <v>16</v>
      </c>
    </row>
    <row r="153" spans="1:6">
      <c r="A153" s="55"/>
      <c r="B153" s="56" t="s">
        <v>563</v>
      </c>
      <c r="C153" s="55" t="s">
        <v>3946</v>
      </c>
      <c r="D153" s="55" t="s">
        <v>3478</v>
      </c>
      <c r="E153" s="56">
        <v>8</v>
      </c>
    </row>
    <row r="154" spans="1:6">
      <c r="A154" s="55"/>
      <c r="B154" s="56" t="s">
        <v>1183</v>
      </c>
      <c r="C154" s="55"/>
      <c r="D154" s="55" t="s">
        <v>3478</v>
      </c>
      <c r="E154" s="56">
        <v>8</v>
      </c>
    </row>
    <row r="155" spans="1:6" ht="45">
      <c r="A155" s="55"/>
      <c r="B155" s="56" t="s">
        <v>569</v>
      </c>
      <c r="C155" s="57" t="s">
        <v>3949</v>
      </c>
      <c r="D155" s="58" t="s">
        <v>3502</v>
      </c>
      <c r="E155" s="56">
        <v>8</v>
      </c>
    </row>
    <row r="156" spans="1:6">
      <c r="A156" s="55"/>
      <c r="B156" s="56" t="s">
        <v>572</v>
      </c>
      <c r="C156" s="55" t="s">
        <v>3972</v>
      </c>
      <c r="D156" s="58" t="s">
        <v>3478</v>
      </c>
      <c r="E156" s="56">
        <v>8</v>
      </c>
    </row>
    <row r="157" spans="1:6">
      <c r="A157" s="55"/>
      <c r="B157" s="56" t="s">
        <v>575</v>
      </c>
      <c r="C157" s="55" t="s">
        <v>3955</v>
      </c>
      <c r="D157" s="55" t="s">
        <v>2906</v>
      </c>
      <c r="E157" s="56">
        <v>16</v>
      </c>
    </row>
    <row r="158" spans="1:6">
      <c r="A158" s="55"/>
      <c r="B158" s="56" t="s">
        <v>581</v>
      </c>
      <c r="C158" s="58" t="s">
        <v>4033</v>
      </c>
      <c r="D158" s="58" t="s">
        <v>4034</v>
      </c>
      <c r="E158" s="56">
        <v>16</v>
      </c>
    </row>
    <row r="159" spans="1:6">
      <c r="A159" s="55"/>
      <c r="B159" s="56" t="s">
        <v>587</v>
      </c>
      <c r="C159" s="55" t="s">
        <v>3960</v>
      </c>
      <c r="D159" s="55" t="s">
        <v>3961</v>
      </c>
      <c r="E159" s="56">
        <v>16</v>
      </c>
    </row>
    <row r="160" spans="1:6">
      <c r="A160" s="55"/>
      <c r="B160" s="56" t="s">
        <v>591</v>
      </c>
      <c r="C160" s="55" t="s">
        <v>3963</v>
      </c>
      <c r="D160" s="55" t="s">
        <v>3478</v>
      </c>
      <c r="E160" s="56">
        <v>8</v>
      </c>
    </row>
    <row r="161" spans="1:6">
      <c r="A161" s="55"/>
      <c r="B161" s="56"/>
      <c r="C161" s="55"/>
      <c r="D161" s="55"/>
      <c r="E161" s="56"/>
    </row>
    <row r="162" spans="1:6">
      <c r="A162" s="55" t="s">
        <v>4035</v>
      </c>
      <c r="B162" s="56" t="s">
        <v>521</v>
      </c>
      <c r="C162" s="55" t="s">
        <v>4036</v>
      </c>
      <c r="D162" s="55"/>
      <c r="E162" s="56"/>
      <c r="F162" t="s">
        <v>4037</v>
      </c>
    </row>
    <row r="163" spans="1:6">
      <c r="A163" s="55"/>
      <c r="B163" s="56"/>
      <c r="C163" s="55"/>
      <c r="D163" s="55"/>
      <c r="E163" s="56"/>
      <c r="F163" t="s">
        <v>4038</v>
      </c>
    </row>
    <row r="164" spans="1:6">
      <c r="A164" s="55" t="s">
        <v>4039</v>
      </c>
      <c r="B164" s="56" t="s">
        <v>521</v>
      </c>
      <c r="C164" s="55" t="s">
        <v>4040</v>
      </c>
      <c r="D164" s="55"/>
      <c r="E164" s="56"/>
    </row>
    <row r="165" spans="1:6">
      <c r="A165" s="55"/>
      <c r="B165" s="56"/>
      <c r="C165" s="55"/>
      <c r="D165" s="55"/>
      <c r="E165" s="56"/>
    </row>
    <row r="166" spans="1:6">
      <c r="A166" s="55"/>
      <c r="B166" s="56"/>
      <c r="C166" s="55"/>
      <c r="D166" s="55"/>
      <c r="E166" s="56"/>
    </row>
    <row r="167" spans="1:6">
      <c r="A167" s="55"/>
      <c r="B167" s="56"/>
      <c r="C167" s="55" t="s">
        <v>4041</v>
      </c>
      <c r="D167" s="55"/>
      <c r="E167" s="56"/>
      <c r="F167" t="s">
        <v>4042</v>
      </c>
    </row>
    <row r="168" spans="1:6">
      <c r="A168" s="55"/>
      <c r="B168" s="56"/>
      <c r="C168" s="55"/>
      <c r="D168" s="55"/>
      <c r="E168" s="56"/>
    </row>
    <row r="169" spans="1:6">
      <c r="A169" s="4" t="s">
        <v>4043</v>
      </c>
      <c r="C169" s="4" t="s">
        <v>4044</v>
      </c>
    </row>
    <row r="171" spans="1:6">
      <c r="A171" s="59" t="s">
        <v>3421</v>
      </c>
      <c r="B171" s="60" t="s">
        <v>521</v>
      </c>
      <c r="C171" s="59" t="s">
        <v>4045</v>
      </c>
      <c r="D171" s="59" t="s">
        <v>4046</v>
      </c>
      <c r="E171" s="60">
        <v>32</v>
      </c>
    </row>
    <row r="172" spans="1:6">
      <c r="A172" s="59" t="s">
        <v>4047</v>
      </c>
      <c r="B172" s="60" t="s">
        <v>536</v>
      </c>
      <c r="C172" s="59" t="s">
        <v>4048</v>
      </c>
      <c r="D172" s="59" t="s">
        <v>4049</v>
      </c>
      <c r="E172" s="60">
        <v>16</v>
      </c>
    </row>
    <row r="173" spans="1:6">
      <c r="A173" s="59" t="s">
        <v>4050</v>
      </c>
      <c r="B173" s="60" t="s">
        <v>544</v>
      </c>
      <c r="C173" s="59" t="s">
        <v>381</v>
      </c>
      <c r="D173" s="59"/>
      <c r="E173" s="60">
        <v>16</v>
      </c>
    </row>
    <row r="174" spans="1:6">
      <c r="A174" s="59"/>
      <c r="B174" s="60"/>
      <c r="C174" s="59"/>
      <c r="D174" s="59"/>
      <c r="E174" s="60"/>
    </row>
    <row r="175" spans="1:6">
      <c r="A175" s="59"/>
      <c r="B175" s="60"/>
      <c r="C175" s="59"/>
      <c r="D175" s="59"/>
      <c r="E175" s="60"/>
    </row>
    <row r="176" spans="1:6">
      <c r="A176" s="59" t="s">
        <v>4051</v>
      </c>
      <c r="B176" s="60"/>
      <c r="C176" s="59" t="s">
        <v>4052</v>
      </c>
      <c r="D176" s="59" t="s">
        <v>4053</v>
      </c>
      <c r="E176" s="60">
        <v>32</v>
      </c>
    </row>
    <row r="177" spans="1:8">
      <c r="A177" s="59" t="s">
        <v>4054</v>
      </c>
      <c r="B177" s="60"/>
      <c r="C177" s="59" t="s">
        <v>4048</v>
      </c>
      <c r="D177" s="59" t="s">
        <v>4055</v>
      </c>
      <c r="E177" s="60">
        <v>16</v>
      </c>
    </row>
    <row r="178" spans="1:8">
      <c r="A178" s="59" t="s">
        <v>4056</v>
      </c>
      <c r="B178" s="60"/>
      <c r="C178" s="59" t="s">
        <v>381</v>
      </c>
      <c r="D178" s="59"/>
      <c r="E178" s="60">
        <v>16</v>
      </c>
    </row>
    <row r="180" spans="1:8">
      <c r="A180" s="4" t="s">
        <v>4057</v>
      </c>
      <c r="C180" s="4" t="s">
        <v>4058</v>
      </c>
    </row>
    <row r="183" spans="1:8">
      <c r="A183" s="61"/>
      <c r="B183" s="62"/>
      <c r="C183" s="63" t="s">
        <v>4059</v>
      </c>
      <c r="D183" s="61"/>
      <c r="E183" s="62"/>
    </row>
    <row r="184" spans="1:8">
      <c r="A184" s="61" t="s">
        <v>4060</v>
      </c>
      <c r="B184" s="62" t="s">
        <v>521</v>
      </c>
      <c r="C184" s="61" t="s">
        <v>4061</v>
      </c>
      <c r="D184" s="61" t="s">
        <v>124</v>
      </c>
      <c r="E184" s="62">
        <v>16</v>
      </c>
    </row>
    <row r="185" spans="1:8">
      <c r="A185" s="61" t="s">
        <v>4062</v>
      </c>
      <c r="B185" s="62" t="s">
        <v>529</v>
      </c>
      <c r="C185" s="61" t="s">
        <v>4063</v>
      </c>
      <c r="D185" s="61" t="s">
        <v>2114</v>
      </c>
      <c r="E185" s="62">
        <v>16</v>
      </c>
    </row>
    <row r="186" spans="1:8">
      <c r="A186" s="61" t="s">
        <v>4064</v>
      </c>
      <c r="B186" s="62" t="s">
        <v>536</v>
      </c>
      <c r="C186" s="61" t="s">
        <v>287</v>
      </c>
      <c r="D186" s="61" t="s">
        <v>124</v>
      </c>
      <c r="E186" s="62">
        <v>16</v>
      </c>
    </row>
    <row r="187" spans="1:8">
      <c r="A187" s="64" t="s">
        <v>4065</v>
      </c>
      <c r="B187" s="64" t="s">
        <v>544</v>
      </c>
      <c r="C187" s="65" t="s">
        <v>4066</v>
      </c>
      <c r="D187" s="61" t="s">
        <v>4067</v>
      </c>
      <c r="E187" s="62">
        <v>16</v>
      </c>
      <c r="F187" s="3"/>
    </row>
    <row r="188" spans="1:8">
      <c r="A188" s="64" t="s">
        <v>4068</v>
      </c>
      <c r="B188" s="64" t="s">
        <v>551</v>
      </c>
      <c r="C188" s="65" t="s">
        <v>4069</v>
      </c>
      <c r="D188" s="61" t="s">
        <v>4070</v>
      </c>
      <c r="E188" s="62">
        <v>16</v>
      </c>
      <c r="F188" s="3"/>
    </row>
    <row r="189" spans="1:8">
      <c r="A189" s="2"/>
      <c r="B189" s="2"/>
      <c r="C189" s="1"/>
    </row>
    <row r="190" spans="1:8">
      <c r="A190" s="31" t="s">
        <v>3423</v>
      </c>
      <c r="B190" s="31"/>
      <c r="C190" s="66" t="s">
        <v>4071</v>
      </c>
      <c r="D190" s="66">
        <v>6200</v>
      </c>
      <c r="E190" s="32">
        <v>16</v>
      </c>
      <c r="F190" s="3" t="s">
        <v>3425</v>
      </c>
      <c r="H190" t="s">
        <v>4072</v>
      </c>
    </row>
    <row r="191" spans="1:8">
      <c r="A191" s="31" t="s">
        <v>4073</v>
      </c>
      <c r="B191" s="31"/>
      <c r="C191" s="66" t="s">
        <v>981</v>
      </c>
      <c r="D191" s="66">
        <v>6201</v>
      </c>
      <c r="E191" s="32">
        <v>16</v>
      </c>
      <c r="F191" s="3"/>
    </row>
    <row r="192" spans="1:8">
      <c r="A192" s="31" t="s">
        <v>4074</v>
      </c>
      <c r="B192" s="31"/>
      <c r="C192" s="66" t="s">
        <v>985</v>
      </c>
      <c r="D192" s="66">
        <v>6204</v>
      </c>
      <c r="E192" s="32">
        <v>16</v>
      </c>
      <c r="F192" s="3"/>
    </row>
    <row r="193" spans="1:7">
      <c r="A193" s="31" t="s">
        <v>4075</v>
      </c>
      <c r="B193" s="31"/>
      <c r="C193" s="66" t="s">
        <v>4076</v>
      </c>
      <c r="D193" s="66">
        <v>6206</v>
      </c>
      <c r="E193" s="32">
        <v>16</v>
      </c>
      <c r="F193" s="3"/>
    </row>
    <row r="194" spans="1:7">
      <c r="A194" s="31" t="s">
        <v>4077</v>
      </c>
      <c r="B194" s="31"/>
      <c r="C194" s="66" t="s">
        <v>990</v>
      </c>
      <c r="D194" s="66">
        <v>6207</v>
      </c>
      <c r="E194" s="32">
        <v>16</v>
      </c>
      <c r="F194" s="3"/>
    </row>
    <row r="195" spans="1:7">
      <c r="A195" s="31" t="s">
        <v>4078</v>
      </c>
      <c r="B195" s="31"/>
      <c r="C195" s="66" t="s">
        <v>992</v>
      </c>
      <c r="D195" s="66">
        <v>6208</v>
      </c>
      <c r="E195" s="32">
        <v>16</v>
      </c>
      <c r="F195" s="3"/>
    </row>
    <row r="196" spans="1:7">
      <c r="A196" s="31" t="s">
        <v>4079</v>
      </c>
      <c r="B196" s="31"/>
      <c r="C196" s="66" t="s">
        <v>994</v>
      </c>
      <c r="D196" s="66">
        <v>6209</v>
      </c>
      <c r="E196" s="32">
        <v>16</v>
      </c>
      <c r="F196" s="3"/>
    </row>
    <row r="197" spans="1:7">
      <c r="A197" s="31" t="s">
        <v>4080</v>
      </c>
      <c r="B197" s="31"/>
      <c r="C197" s="66" t="s">
        <v>4081</v>
      </c>
      <c r="D197" s="66" t="s">
        <v>4082</v>
      </c>
      <c r="E197" s="32">
        <v>16</v>
      </c>
      <c r="F197" s="3"/>
    </row>
    <row r="198" spans="1:7">
      <c r="A198" s="31" t="s">
        <v>4083</v>
      </c>
      <c r="B198" s="31"/>
      <c r="C198" s="66" t="s">
        <v>4084</v>
      </c>
      <c r="D198" s="66" t="s">
        <v>4085</v>
      </c>
      <c r="E198" s="32">
        <v>16</v>
      </c>
      <c r="F198" s="3"/>
    </row>
    <row r="199" spans="1:7">
      <c r="A199" s="31" t="s">
        <v>4086</v>
      </c>
      <c r="B199" s="31"/>
      <c r="C199" s="66" t="s">
        <v>1003</v>
      </c>
      <c r="D199" s="66" t="s">
        <v>4087</v>
      </c>
      <c r="E199" s="32">
        <v>16</v>
      </c>
      <c r="F199" s="3"/>
    </row>
    <row r="200" spans="1:7">
      <c r="A200" s="31" t="s">
        <v>4088</v>
      </c>
      <c r="B200" s="31"/>
      <c r="C200" s="66" t="s">
        <v>1005</v>
      </c>
      <c r="D200" s="66">
        <v>6211</v>
      </c>
      <c r="E200" s="32">
        <v>16</v>
      </c>
      <c r="F200" s="3"/>
    </row>
    <row r="201" spans="1:7">
      <c r="A201" s="31" t="s">
        <v>4089</v>
      </c>
      <c r="B201" s="31"/>
      <c r="C201" s="66" t="s">
        <v>4090</v>
      </c>
      <c r="D201" s="66">
        <v>6210</v>
      </c>
      <c r="E201" s="32">
        <v>16</v>
      </c>
      <c r="F201" s="3"/>
    </row>
    <row r="202" spans="1:7">
      <c r="A202" s="31" t="s">
        <v>3426</v>
      </c>
      <c r="B202" s="31"/>
      <c r="C202" s="66" t="s">
        <v>3427</v>
      </c>
      <c r="D202" s="66" t="s">
        <v>4091</v>
      </c>
      <c r="E202" s="32">
        <v>16</v>
      </c>
      <c r="F202" s="3"/>
      <c r="G202" t="s">
        <v>4092</v>
      </c>
    </row>
    <row r="206" spans="1:7">
      <c r="A206" s="67" t="s">
        <v>3797</v>
      </c>
      <c r="B206" s="67"/>
      <c r="C206" s="68" t="s">
        <v>3798</v>
      </c>
      <c r="D206" s="68"/>
      <c r="E206" s="69">
        <v>32</v>
      </c>
    </row>
    <row r="207" spans="1:7">
      <c r="A207" s="67" t="s">
        <v>3799</v>
      </c>
      <c r="B207" s="67" t="s">
        <v>536</v>
      </c>
      <c r="C207" s="68" t="s">
        <v>3800</v>
      </c>
      <c r="D207" s="68"/>
      <c r="E207" s="69">
        <v>16</v>
      </c>
    </row>
    <row r="208" spans="1:7">
      <c r="A208" s="67"/>
      <c r="B208" s="67"/>
      <c r="C208" s="68"/>
      <c r="D208" s="68"/>
      <c r="E208" s="69"/>
    </row>
    <row r="209" spans="1:6">
      <c r="A209" s="67" t="s">
        <v>3801</v>
      </c>
      <c r="B209" s="67" t="s">
        <v>587</v>
      </c>
      <c r="C209" s="68" t="s">
        <v>3802</v>
      </c>
      <c r="D209" s="68"/>
      <c r="E209" s="69">
        <v>32</v>
      </c>
    </row>
    <row r="220" spans="1:6">
      <c r="A220" s="35" t="s">
        <v>3824</v>
      </c>
      <c r="B220" s="35"/>
      <c r="C220" s="70" t="s">
        <v>4093</v>
      </c>
      <c r="D220" s="70"/>
      <c r="E220" s="36"/>
      <c r="F220" s="3" t="s">
        <v>3826</v>
      </c>
    </row>
    <row r="221" spans="1:6">
      <c r="A221" s="35"/>
      <c r="B221" s="35"/>
      <c r="C221" s="70"/>
      <c r="D221" s="70"/>
      <c r="E221" s="36"/>
      <c r="F221" s="3"/>
    </row>
    <row r="222" spans="1:6">
      <c r="A222" s="35" t="s">
        <v>3827</v>
      </c>
      <c r="B222" s="35" t="s">
        <v>1302</v>
      </c>
      <c r="C222" s="70" t="s">
        <v>3828</v>
      </c>
      <c r="D222" s="70"/>
      <c r="E222" s="36">
        <v>32</v>
      </c>
      <c r="F222" s="3"/>
    </row>
    <row r="223" spans="1:6">
      <c r="A223" s="35" t="s">
        <v>3829</v>
      </c>
      <c r="B223" s="35" t="s">
        <v>2510</v>
      </c>
      <c r="C223" s="70" t="s">
        <v>3830</v>
      </c>
      <c r="D223" s="70"/>
      <c r="E223" s="36">
        <v>32</v>
      </c>
      <c r="F223" s="3"/>
    </row>
    <row r="224" spans="1:6">
      <c r="A224" s="35" t="s">
        <v>3831</v>
      </c>
      <c r="B224" s="35" t="s">
        <v>2514</v>
      </c>
      <c r="C224" s="70" t="s">
        <v>3832</v>
      </c>
      <c r="D224" s="70"/>
      <c r="E224" s="36">
        <v>16</v>
      </c>
      <c r="F224" s="3"/>
    </row>
    <row r="225" spans="1:6">
      <c r="A225" s="35" t="s">
        <v>3833</v>
      </c>
      <c r="B225" s="35" t="s">
        <v>3834</v>
      </c>
      <c r="C225" s="70" t="s">
        <v>3835</v>
      </c>
      <c r="D225" s="70"/>
      <c r="E225" s="36">
        <v>8</v>
      </c>
      <c r="F225" s="3"/>
    </row>
    <row r="226" spans="1:6">
      <c r="A226" s="35" t="s">
        <v>3836</v>
      </c>
      <c r="B226" s="35" t="s">
        <v>3837</v>
      </c>
      <c r="C226" s="70" t="s">
        <v>3838</v>
      </c>
      <c r="D226" s="70"/>
      <c r="E226" s="36">
        <v>8</v>
      </c>
      <c r="F226" s="3"/>
    </row>
    <row r="227" spans="1:6">
      <c r="A227" s="35" t="s">
        <v>3839</v>
      </c>
      <c r="B227" s="35" t="s">
        <v>2518</v>
      </c>
      <c r="C227" s="70" t="s">
        <v>3840</v>
      </c>
      <c r="D227" s="70"/>
      <c r="E227" s="36">
        <v>8</v>
      </c>
      <c r="F227" s="3"/>
    </row>
    <row r="228" spans="1:6">
      <c r="A228" s="35" t="s">
        <v>3841</v>
      </c>
      <c r="B228" s="35" t="s">
        <v>3842</v>
      </c>
      <c r="C228" s="70" t="s">
        <v>3840</v>
      </c>
      <c r="D228" s="70"/>
      <c r="E228" s="36">
        <v>8</v>
      </c>
      <c r="F228" s="3"/>
    </row>
    <row r="229" spans="1:6">
      <c r="A229" s="35" t="s">
        <v>3843</v>
      </c>
      <c r="B229" s="35" t="s">
        <v>2793</v>
      </c>
      <c r="C229" s="70" t="s">
        <v>3840</v>
      </c>
      <c r="D229" s="70"/>
      <c r="E229" s="36">
        <v>8</v>
      </c>
      <c r="F229" s="3"/>
    </row>
    <row r="230" spans="1:6">
      <c r="A230" s="35" t="s">
        <v>3844</v>
      </c>
      <c r="B230" s="35" t="s">
        <v>3845</v>
      </c>
      <c r="C230" s="70" t="s">
        <v>3838</v>
      </c>
      <c r="D230" s="70"/>
      <c r="E230" s="36">
        <v>8</v>
      </c>
      <c r="F230" s="3"/>
    </row>
    <row r="231" spans="1:6">
      <c r="A231" s="35" t="s">
        <v>3846</v>
      </c>
      <c r="B231" s="35" t="s">
        <v>2594</v>
      </c>
      <c r="C231" s="70" t="s">
        <v>3840</v>
      </c>
      <c r="D231" s="70"/>
      <c r="E231" s="36">
        <v>16</v>
      </c>
      <c r="F231" s="3"/>
    </row>
    <row r="232" spans="1:6">
      <c r="A232" s="35" t="s">
        <v>3847</v>
      </c>
      <c r="B232" s="35" t="s">
        <v>2596</v>
      </c>
      <c r="C232" s="70" t="s">
        <v>3838</v>
      </c>
      <c r="D232" s="70"/>
      <c r="E232" s="36">
        <v>16</v>
      </c>
      <c r="F232" s="3"/>
    </row>
    <row r="233" spans="1:6">
      <c r="A233" s="35" t="s">
        <v>3848</v>
      </c>
      <c r="B233" s="35" t="s">
        <v>2598</v>
      </c>
      <c r="C233" s="70" t="s">
        <v>3849</v>
      </c>
      <c r="D233" s="70"/>
      <c r="E233" s="36">
        <v>16</v>
      </c>
      <c r="F233" s="3"/>
    </row>
    <row r="234" spans="1:6">
      <c r="A234" s="35" t="s">
        <v>3850</v>
      </c>
      <c r="B234" s="35" t="s">
        <v>2798</v>
      </c>
      <c r="C234" s="70" t="s">
        <v>3851</v>
      </c>
      <c r="D234" s="70"/>
      <c r="E234" s="36">
        <v>8</v>
      </c>
      <c r="F234" s="3"/>
    </row>
    <row r="235" spans="1:6">
      <c r="A235" s="35" t="s">
        <v>3852</v>
      </c>
      <c r="B235" s="35" t="s">
        <v>3853</v>
      </c>
      <c r="C235" s="70" t="s">
        <v>3854</v>
      </c>
      <c r="D235" s="70"/>
      <c r="E235" s="36">
        <v>8</v>
      </c>
      <c r="F235" s="3"/>
    </row>
    <row r="236" spans="1:6">
      <c r="A236" s="35" t="s">
        <v>3855</v>
      </c>
      <c r="B236" s="35" t="s">
        <v>2600</v>
      </c>
      <c r="C236" s="70" t="s">
        <v>3856</v>
      </c>
      <c r="D236" s="70"/>
      <c r="E236" s="36">
        <v>16</v>
      </c>
      <c r="F236" s="3"/>
    </row>
    <row r="237" spans="1:6">
      <c r="A237" s="35" t="s">
        <v>3857</v>
      </c>
      <c r="B237" s="35" t="s">
        <v>2931</v>
      </c>
      <c r="C237" s="70" t="s">
        <v>3858</v>
      </c>
      <c r="D237" s="70"/>
      <c r="E237" s="36">
        <v>16</v>
      </c>
      <c r="F237" s="3"/>
    </row>
    <row r="238" spans="1:6">
      <c r="A238" s="35" t="s">
        <v>3859</v>
      </c>
      <c r="B238" s="35" t="s">
        <v>2933</v>
      </c>
      <c r="C238" s="70" t="s">
        <v>3860</v>
      </c>
      <c r="D238" s="70"/>
      <c r="E238" s="36">
        <v>8</v>
      </c>
      <c r="F238" s="3"/>
    </row>
    <row r="239" spans="1:6">
      <c r="A239" s="35" t="s">
        <v>3861</v>
      </c>
      <c r="B239" s="35" t="s">
        <v>3862</v>
      </c>
      <c r="C239" s="70" t="s">
        <v>3863</v>
      </c>
      <c r="D239" s="70"/>
      <c r="E239" s="36">
        <v>8</v>
      </c>
      <c r="F239" s="3"/>
    </row>
    <row r="240" spans="1:6">
      <c r="A240" s="35" t="s">
        <v>3864</v>
      </c>
      <c r="B240" s="35" t="s">
        <v>2937</v>
      </c>
      <c r="C240" s="70" t="s">
        <v>3865</v>
      </c>
      <c r="D240" s="70"/>
      <c r="E240" s="36">
        <v>16</v>
      </c>
      <c r="F240" s="3"/>
    </row>
    <row r="241" spans="1:6">
      <c r="A241" s="35" t="s">
        <v>3866</v>
      </c>
      <c r="B241" s="35" t="s">
        <v>2802</v>
      </c>
      <c r="C241" s="70" t="s">
        <v>3867</v>
      </c>
      <c r="D241" s="70"/>
      <c r="E241" s="36">
        <v>16</v>
      </c>
      <c r="F241" s="3"/>
    </row>
    <row r="242" spans="1:6">
      <c r="A242" s="35"/>
      <c r="B242" s="35"/>
      <c r="C242" s="70"/>
      <c r="D242" s="70"/>
      <c r="E242" s="36"/>
      <c r="F242" s="3"/>
    </row>
    <row r="243" spans="1:6">
      <c r="A243" s="35" t="s">
        <v>3868</v>
      </c>
      <c r="B243" s="35" t="s">
        <v>2811</v>
      </c>
      <c r="C243" s="70" t="s">
        <v>3869</v>
      </c>
      <c r="D243" s="70"/>
      <c r="E243" s="36"/>
      <c r="F243" s="3" t="s">
        <v>2830</v>
      </c>
    </row>
    <row r="244" spans="1:6">
      <c r="A244" s="35"/>
      <c r="B244" s="35"/>
      <c r="C244" s="70"/>
      <c r="D244" s="70"/>
      <c r="E244" s="36"/>
      <c r="F244" s="3"/>
    </row>
    <row r="245" spans="1:6">
      <c r="A245" s="35" t="s">
        <v>4094</v>
      </c>
      <c r="B245" s="35" t="s">
        <v>1302</v>
      </c>
      <c r="C245" s="70" t="s">
        <v>4095</v>
      </c>
      <c r="D245" s="70"/>
      <c r="E245" s="36">
        <v>32</v>
      </c>
      <c r="F245" s="3"/>
    </row>
    <row r="246" spans="1:6">
      <c r="A246" s="35"/>
      <c r="B246" s="35"/>
      <c r="C246" s="70"/>
      <c r="D246" s="70"/>
      <c r="E246" s="36"/>
      <c r="F246" s="3"/>
    </row>
    <row r="247" spans="1:6">
      <c r="A247" s="35" t="s">
        <v>4096</v>
      </c>
      <c r="B247" s="35" t="s">
        <v>1302</v>
      </c>
      <c r="C247" s="70" t="s">
        <v>4097</v>
      </c>
      <c r="D247" s="70"/>
      <c r="E247" s="36">
        <v>32</v>
      </c>
      <c r="F247" s="3"/>
    </row>
    <row r="248" spans="1:6">
      <c r="A248" s="35"/>
      <c r="B248" s="35"/>
      <c r="C248" s="70"/>
      <c r="D248" s="70"/>
      <c r="E248" s="36"/>
      <c r="F248" s="3"/>
    </row>
    <row r="249" spans="1:6">
      <c r="A249" s="35" t="s">
        <v>4098</v>
      </c>
      <c r="B249" s="35" t="s">
        <v>1302</v>
      </c>
      <c r="C249" s="70" t="s">
        <v>4099</v>
      </c>
      <c r="D249" s="70"/>
      <c r="E249" s="36"/>
      <c r="F249" s="3"/>
    </row>
    <row r="250" spans="1:6">
      <c r="A250" s="35"/>
      <c r="B250" s="35"/>
      <c r="C250" s="70"/>
      <c r="D250" s="70"/>
      <c r="E250" s="36"/>
      <c r="F250" s="3"/>
    </row>
    <row r="251" spans="1:6">
      <c r="A251" s="35" t="s">
        <v>4100</v>
      </c>
      <c r="B251" s="35" t="s">
        <v>1302</v>
      </c>
      <c r="C251" s="70" t="s">
        <v>3511</v>
      </c>
      <c r="D251" s="70"/>
      <c r="E251" s="36"/>
      <c r="F251" s="3"/>
    </row>
    <row r="252" spans="1:6">
      <c r="A252" s="35"/>
      <c r="B252" s="35"/>
      <c r="C252" s="70"/>
      <c r="D252" s="70"/>
      <c r="E252" s="36"/>
      <c r="F252" s="3"/>
    </row>
    <row r="253" spans="1:6">
      <c r="A253" s="35" t="s">
        <v>4101</v>
      </c>
      <c r="B253" s="35" t="s">
        <v>1302</v>
      </c>
      <c r="C253" s="70" t="s">
        <v>4102</v>
      </c>
      <c r="D253" s="70"/>
      <c r="E253" s="36"/>
      <c r="F253" s="3"/>
    </row>
    <row r="254" spans="1:6">
      <c r="A254" s="35"/>
      <c r="B254" s="35"/>
      <c r="C254" s="70"/>
      <c r="D254" s="70"/>
      <c r="E254" s="36"/>
      <c r="F254" s="3"/>
    </row>
    <row r="255" spans="1:6">
      <c r="A255" s="35" t="s">
        <v>4103</v>
      </c>
      <c r="B255" s="35" t="s">
        <v>1302</v>
      </c>
      <c r="C255" s="70" t="s">
        <v>4104</v>
      </c>
      <c r="D255" s="70"/>
      <c r="E255" s="36"/>
      <c r="F255" s="3"/>
    </row>
    <row r="256" spans="1:6">
      <c r="A256" s="35"/>
      <c r="B256" s="35"/>
      <c r="C256" s="70"/>
      <c r="D256" s="70"/>
      <c r="E256" s="36"/>
      <c r="F256" s="3"/>
    </row>
    <row r="257" spans="1:6">
      <c r="A257" s="35" t="s">
        <v>4105</v>
      </c>
      <c r="B257" s="35" t="s">
        <v>1302</v>
      </c>
      <c r="C257" s="70" t="s">
        <v>3950</v>
      </c>
      <c r="D257" s="70"/>
      <c r="E257" s="36"/>
      <c r="F257" s="3"/>
    </row>
    <row r="258" spans="1:6">
      <c r="A258" s="35"/>
      <c r="B258" s="35"/>
      <c r="C258" s="70"/>
      <c r="D258" s="70"/>
      <c r="E258" s="36"/>
      <c r="F258" s="3"/>
    </row>
    <row r="259" spans="1:6">
      <c r="A259" s="35" t="s">
        <v>4106</v>
      </c>
      <c r="B259" s="35" t="s">
        <v>1302</v>
      </c>
      <c r="C259" s="70" t="s">
        <v>3502</v>
      </c>
      <c r="D259" s="70"/>
      <c r="E259" s="36"/>
      <c r="F259" s="3"/>
    </row>
    <row r="260" spans="1:6">
      <c r="A260" s="35"/>
      <c r="B260" s="35"/>
      <c r="C260" s="70"/>
      <c r="D260" s="70"/>
      <c r="E260" s="36"/>
      <c r="F260" s="3"/>
    </row>
    <row r="261" spans="1:6">
      <c r="A261" s="35" t="s">
        <v>4107</v>
      </c>
      <c r="B261" s="35" t="s">
        <v>1302</v>
      </c>
      <c r="C261" s="70" t="s">
        <v>3505</v>
      </c>
      <c r="D261" s="70"/>
      <c r="E261" s="36"/>
      <c r="F261" s="3"/>
    </row>
    <row r="262" spans="1:6">
      <c r="A262" s="35"/>
      <c r="B262" s="35"/>
      <c r="C262" s="70"/>
      <c r="D262" s="70"/>
      <c r="E262" s="36"/>
      <c r="F262" s="3"/>
    </row>
    <row r="263" spans="1:6">
      <c r="A263" s="35" t="s">
        <v>4108</v>
      </c>
      <c r="B263" s="35" t="s">
        <v>1302</v>
      </c>
      <c r="C263" s="70" t="s">
        <v>1952</v>
      </c>
      <c r="D263" s="70"/>
      <c r="E263" s="36"/>
      <c r="F263" s="3"/>
    </row>
    <row r="264" spans="1:6">
      <c r="A264" s="35"/>
      <c r="B264" s="35"/>
      <c r="C264" s="70"/>
      <c r="D264" s="70"/>
      <c r="E264" s="36"/>
      <c r="F264" s="3"/>
    </row>
    <row r="265" spans="1:6">
      <c r="A265" s="35" t="s">
        <v>4109</v>
      </c>
      <c r="B265" s="35" t="s">
        <v>1302</v>
      </c>
      <c r="C265" s="70" t="s">
        <v>4110</v>
      </c>
      <c r="D265" s="70"/>
      <c r="E265" s="36"/>
      <c r="F265" s="3"/>
    </row>
    <row r="266" spans="1:6">
      <c r="A266" s="35"/>
      <c r="B266" s="35"/>
      <c r="C266" s="70"/>
      <c r="D266" s="70"/>
      <c r="E266" s="36"/>
      <c r="F266" s="3"/>
    </row>
    <row r="267" spans="1:6">
      <c r="A267" s="35" t="s">
        <v>3870</v>
      </c>
      <c r="B267" s="35" t="s">
        <v>1302</v>
      </c>
      <c r="C267" s="71" t="s">
        <v>4111</v>
      </c>
      <c r="D267" s="70"/>
      <c r="E267" s="36"/>
      <c r="F267" s="3"/>
    </row>
    <row r="268" spans="1:6">
      <c r="A268" s="35"/>
      <c r="B268" s="35"/>
      <c r="C268" s="70"/>
      <c r="D268" s="70"/>
      <c r="E268" s="36"/>
      <c r="F268" s="3"/>
    </row>
    <row r="269" spans="1:6">
      <c r="A269" s="35" t="s">
        <v>3874</v>
      </c>
      <c r="B269" s="35" t="s">
        <v>2802</v>
      </c>
      <c r="C269" s="70" t="s">
        <v>3875</v>
      </c>
      <c r="D269" s="70"/>
      <c r="E269" s="36"/>
      <c r="F269" s="3"/>
    </row>
    <row r="270" spans="1:6">
      <c r="A270" s="35"/>
      <c r="B270" s="35"/>
      <c r="C270" s="70"/>
      <c r="D270" s="70"/>
      <c r="E270" s="36"/>
      <c r="F270" s="3"/>
    </row>
    <row r="271" spans="1:6">
      <c r="A271" s="35" t="s">
        <v>4112</v>
      </c>
      <c r="B271" s="35" t="s">
        <v>1302</v>
      </c>
      <c r="C271" s="70" t="s">
        <v>4113</v>
      </c>
      <c r="D271" s="70"/>
      <c r="E271" s="36"/>
      <c r="F271" s="3"/>
    </row>
    <row r="272" spans="1:6">
      <c r="A272" s="35"/>
      <c r="B272" s="35"/>
      <c r="C272" s="70"/>
      <c r="D272" s="70"/>
      <c r="E272" s="36"/>
      <c r="F272" s="3"/>
    </row>
    <row r="273" spans="1:6">
      <c r="A273" s="35"/>
      <c r="B273" s="35"/>
      <c r="C273" s="70"/>
      <c r="D273" s="70"/>
      <c r="E273" s="36">
        <v>32</v>
      </c>
      <c r="F273" s="3"/>
    </row>
    <row r="274" spans="1:6">
      <c r="A274" s="35"/>
      <c r="B274" s="35"/>
      <c r="C274" s="70"/>
      <c r="D274" s="70"/>
      <c r="E274" s="36">
        <v>32</v>
      </c>
      <c r="F274" s="3"/>
    </row>
    <row r="275" spans="1:6">
      <c r="A275" s="35"/>
      <c r="B275" s="35"/>
      <c r="C275" s="70"/>
      <c r="D275" s="70"/>
      <c r="E275" s="36"/>
      <c r="F275" s="3"/>
    </row>
    <row r="276" spans="1:6">
      <c r="A276" s="35" t="s">
        <v>3874</v>
      </c>
      <c r="B276" s="35"/>
      <c r="C276" s="70" t="s">
        <v>3875</v>
      </c>
      <c r="D276" s="70"/>
      <c r="E276" s="36">
        <v>16</v>
      </c>
      <c r="F276" s="3"/>
    </row>
    <row r="277" spans="1:6">
      <c r="A277" s="2"/>
      <c r="B277" s="2"/>
    </row>
    <row r="278" spans="1:6">
      <c r="A278" s="2" t="s">
        <v>3876</v>
      </c>
      <c r="B278" s="2"/>
      <c r="C278" s="4" t="s">
        <v>3877</v>
      </c>
    </row>
    <row r="280" spans="1:6">
      <c r="A280" s="4" t="s">
        <v>4114</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259"/>
  <sheetViews>
    <sheetView topLeftCell="A36" zoomScaleNormal="100" workbookViewId="0">
      <selection activeCell="A50" sqref="A50"/>
    </sheetView>
  </sheetViews>
  <sheetFormatPr defaultColWidth="11.5703125" defaultRowHeight="15"/>
  <cols>
    <col min="1" max="1" width="45.28515625" customWidth="1"/>
    <col min="2" max="4" width="11.7109375" customWidth="1"/>
    <col min="5" max="64" width="9.42578125" customWidth="1"/>
  </cols>
  <sheetData>
    <row r="1" spans="1:1">
      <c r="A1" s="19" t="s">
        <v>4115</v>
      </c>
    </row>
    <row r="2" spans="1:1">
      <c r="A2" s="19" t="s">
        <v>4116</v>
      </c>
    </row>
    <row r="3" spans="1:1">
      <c r="A3" s="19" t="s">
        <v>4117</v>
      </c>
    </row>
    <row r="4" spans="1:1">
      <c r="A4" s="19" t="s">
        <v>4118</v>
      </c>
    </row>
    <row r="5" spans="1:1">
      <c r="A5" s="19" t="s">
        <v>4119</v>
      </c>
    </row>
    <row r="6" spans="1:1">
      <c r="A6" s="19" t="s">
        <v>4120</v>
      </c>
    </row>
    <row r="7" spans="1:1">
      <c r="A7" s="19" t="s">
        <v>4121</v>
      </c>
    </row>
    <row r="8" spans="1:1">
      <c r="A8" s="19" t="s">
        <v>4122</v>
      </c>
    </row>
    <row r="9" spans="1:1">
      <c r="A9" s="19" t="s">
        <v>4123</v>
      </c>
    </row>
    <row r="10" spans="1:1">
      <c r="A10" s="19" t="s">
        <v>4124</v>
      </c>
    </row>
    <row r="11" spans="1:1">
      <c r="A11" s="19" t="s">
        <v>4125</v>
      </c>
    </row>
    <row r="12" spans="1:1">
      <c r="A12" s="19" t="s">
        <v>4126</v>
      </c>
    </row>
    <row r="13" spans="1:1" ht="26.25">
      <c r="A13" s="19" t="s">
        <v>4127</v>
      </c>
    </row>
    <row r="14" spans="1:1">
      <c r="A14" s="19" t="s">
        <v>4128</v>
      </c>
    </row>
    <row r="15" spans="1:1">
      <c r="A15" s="19" t="s">
        <v>4129</v>
      </c>
    </row>
    <row r="16" spans="1:1">
      <c r="A16" s="19" t="s">
        <v>4130</v>
      </c>
    </row>
    <row r="17" spans="1:1">
      <c r="A17" s="19" t="s">
        <v>4131</v>
      </c>
    </row>
    <row r="18" spans="1:1">
      <c r="A18" s="19" t="s">
        <v>4132</v>
      </c>
    </row>
    <row r="19" spans="1:1">
      <c r="A19" s="19" t="s">
        <v>4133</v>
      </c>
    </row>
    <row r="20" spans="1:1">
      <c r="A20" s="19" t="s">
        <v>4134</v>
      </c>
    </row>
    <row r="21" spans="1:1">
      <c r="A21" s="19" t="s">
        <v>4135</v>
      </c>
    </row>
    <row r="22" spans="1:1">
      <c r="A22" s="19" t="s">
        <v>4136</v>
      </c>
    </row>
    <row r="23" spans="1:1">
      <c r="A23" s="19" t="s">
        <v>4137</v>
      </c>
    </row>
    <row r="24" spans="1:1">
      <c r="A24" s="19" t="s">
        <v>4138</v>
      </c>
    </row>
    <row r="25" spans="1:1">
      <c r="A25" s="19" t="s">
        <v>4139</v>
      </c>
    </row>
    <row r="26" spans="1:1">
      <c r="A26" s="19" t="s">
        <v>4140</v>
      </c>
    </row>
    <row r="27" spans="1:1">
      <c r="A27" s="19" t="s">
        <v>4141</v>
      </c>
    </row>
    <row r="28" spans="1:1">
      <c r="A28" s="19" t="s">
        <v>4142</v>
      </c>
    </row>
    <row r="29" spans="1:1">
      <c r="A29" s="19" t="s">
        <v>4143</v>
      </c>
    </row>
    <row r="30" spans="1:1">
      <c r="A30" s="19" t="s">
        <v>4144</v>
      </c>
    </row>
    <row r="31" spans="1:1" ht="26.25">
      <c r="A31" s="19" t="s">
        <v>4145</v>
      </c>
    </row>
    <row r="32" spans="1:1">
      <c r="A32" s="19" t="s">
        <v>4146</v>
      </c>
    </row>
    <row r="33" spans="1:1">
      <c r="A33" s="19" t="s">
        <v>4147</v>
      </c>
    </row>
    <row r="34" spans="1:1">
      <c r="A34" s="19" t="s">
        <v>4148</v>
      </c>
    </row>
    <row r="35" spans="1:1">
      <c r="A35" s="19" t="s">
        <v>4149</v>
      </c>
    </row>
    <row r="36" spans="1:1">
      <c r="A36" s="19" t="s">
        <v>4150</v>
      </c>
    </row>
    <row r="37" spans="1:1">
      <c r="A37" s="19" t="s">
        <v>4151</v>
      </c>
    </row>
    <row r="38" spans="1:1">
      <c r="A38" s="19" t="s">
        <v>4152</v>
      </c>
    </row>
    <row r="39" spans="1:1">
      <c r="A39" s="19" t="s">
        <v>4153</v>
      </c>
    </row>
    <row r="40" spans="1:1" ht="26.25">
      <c r="A40" s="19" t="s">
        <v>4154</v>
      </c>
    </row>
    <row r="41" spans="1:1">
      <c r="A41" s="19" t="s">
        <v>4155</v>
      </c>
    </row>
    <row r="42" spans="1:1">
      <c r="A42" s="19" t="s">
        <v>4156</v>
      </c>
    </row>
    <row r="43" spans="1:1">
      <c r="A43" s="19" t="s">
        <v>4157</v>
      </c>
    </row>
    <row r="44" spans="1:1">
      <c r="A44" s="19" t="s">
        <v>4158</v>
      </c>
    </row>
    <row r="45" spans="1:1">
      <c r="A45" s="19" t="s">
        <v>4159</v>
      </c>
    </row>
    <row r="46" spans="1:1">
      <c r="A46" s="19" t="s">
        <v>4160</v>
      </c>
    </row>
    <row r="47" spans="1:1">
      <c r="A47" s="19" t="s">
        <v>4161</v>
      </c>
    </row>
    <row r="48" spans="1:1">
      <c r="A48" s="19" t="s">
        <v>4162</v>
      </c>
    </row>
    <row r="49" spans="1:2" ht="26.25">
      <c r="A49" s="19" t="s">
        <v>4163</v>
      </c>
    </row>
    <row r="50" spans="1:2">
      <c r="A50" s="19" t="s">
        <v>4164</v>
      </c>
    </row>
    <row r="51" spans="1:2">
      <c r="A51" s="19" t="s">
        <v>4165</v>
      </c>
    </row>
    <row r="52" spans="1:2">
      <c r="A52" s="19" t="s">
        <v>4166</v>
      </c>
      <c r="B52" t="s">
        <v>4167</v>
      </c>
    </row>
    <row r="53" spans="1:2">
      <c r="A53" s="19" t="s">
        <v>4168</v>
      </c>
    </row>
    <row r="54" spans="1:2">
      <c r="A54" s="19" t="s">
        <v>4169</v>
      </c>
      <c r="B54" t="s">
        <v>4170</v>
      </c>
    </row>
    <row r="55" spans="1:2">
      <c r="A55" s="19" t="s">
        <v>4171</v>
      </c>
    </row>
    <row r="56" spans="1:2">
      <c r="A56" s="19" t="s">
        <v>4172</v>
      </c>
    </row>
    <row r="57" spans="1:2">
      <c r="A57" s="19" t="s">
        <v>4173</v>
      </c>
    </row>
    <row r="58" spans="1:2">
      <c r="A58" s="19" t="s">
        <v>4174</v>
      </c>
    </row>
    <row r="59" spans="1:2" ht="26.25">
      <c r="A59" s="19" t="s">
        <v>4175</v>
      </c>
    </row>
    <row r="60" spans="1:2">
      <c r="A60" s="19" t="s">
        <v>4176</v>
      </c>
    </row>
    <row r="61" spans="1:2">
      <c r="A61" s="19" t="s">
        <v>4177</v>
      </c>
      <c r="B61" t="s">
        <v>4178</v>
      </c>
    </row>
    <row r="62" spans="1:2">
      <c r="A62" s="19" t="s">
        <v>4179</v>
      </c>
    </row>
    <row r="63" spans="1:2">
      <c r="A63" s="19" t="s">
        <v>4180</v>
      </c>
    </row>
    <row r="64" spans="1:2">
      <c r="A64" s="19" t="s">
        <v>4181</v>
      </c>
    </row>
    <row r="65" spans="1:2">
      <c r="A65" s="19" t="s">
        <v>4182</v>
      </c>
    </row>
    <row r="66" spans="1:2">
      <c r="A66" s="19" t="s">
        <v>4183</v>
      </c>
    </row>
    <row r="67" spans="1:2">
      <c r="A67" s="19" t="s">
        <v>4184</v>
      </c>
    </row>
    <row r="68" spans="1:2">
      <c r="A68" s="19" t="s">
        <v>4185</v>
      </c>
    </row>
    <row r="69" spans="1:2">
      <c r="A69" s="19" t="s">
        <v>4186</v>
      </c>
    </row>
    <row r="70" spans="1:2">
      <c r="A70" s="19" t="s">
        <v>4187</v>
      </c>
    </row>
    <row r="71" spans="1:2">
      <c r="A71" s="19" t="s">
        <v>4188</v>
      </c>
    </row>
    <row r="72" spans="1:2">
      <c r="A72" s="19" t="s">
        <v>4189</v>
      </c>
    </row>
    <row r="73" spans="1:2">
      <c r="A73" s="19" t="s">
        <v>4190</v>
      </c>
      <c r="B73" t="s">
        <v>4191</v>
      </c>
    </row>
    <row r="74" spans="1:2">
      <c r="A74" s="19" t="s">
        <v>4192</v>
      </c>
    </row>
    <row r="75" spans="1:2">
      <c r="A75" s="19" t="s">
        <v>4193</v>
      </c>
      <c r="B75" t="s">
        <v>4194</v>
      </c>
    </row>
    <row r="76" spans="1:2">
      <c r="A76" s="19" t="s">
        <v>4195</v>
      </c>
    </row>
    <row r="77" spans="1:2">
      <c r="A77" s="19" t="s">
        <v>4196</v>
      </c>
      <c r="B77" t="s">
        <v>4197</v>
      </c>
    </row>
    <row r="78" spans="1:2">
      <c r="A78" s="19" t="s">
        <v>4198</v>
      </c>
    </row>
    <row r="79" spans="1:2">
      <c r="A79" s="19" t="s">
        <v>4199</v>
      </c>
    </row>
    <row r="80" spans="1:2">
      <c r="A80" s="19" t="s">
        <v>4200</v>
      </c>
      <c r="B80" t="s">
        <v>4201</v>
      </c>
    </row>
    <row r="81" spans="1:2" ht="39">
      <c r="A81" s="19" t="s">
        <v>4202</v>
      </c>
    </row>
    <row r="82" spans="1:2">
      <c r="A82" s="19" t="s">
        <v>4203</v>
      </c>
    </row>
    <row r="83" spans="1:2">
      <c r="A83" s="19" t="s">
        <v>4204</v>
      </c>
    </row>
    <row r="84" spans="1:2">
      <c r="A84" s="19" t="s">
        <v>4205</v>
      </c>
    </row>
    <row r="85" spans="1:2">
      <c r="A85" s="19" t="s">
        <v>4206</v>
      </c>
      <c r="B85" t="s">
        <v>4207</v>
      </c>
    </row>
    <row r="86" spans="1:2">
      <c r="A86" s="19" t="s">
        <v>4208</v>
      </c>
    </row>
    <row r="87" spans="1:2">
      <c r="A87" s="19" t="s">
        <v>4209</v>
      </c>
    </row>
    <row r="88" spans="1:2">
      <c r="A88" s="19" t="s">
        <v>4210</v>
      </c>
    </row>
    <row r="89" spans="1:2">
      <c r="A89" s="19" t="s">
        <v>4211</v>
      </c>
    </row>
    <row r="90" spans="1:2">
      <c r="A90" s="19" t="s">
        <v>4212</v>
      </c>
    </row>
    <row r="91" spans="1:2">
      <c r="A91" s="19" t="s">
        <v>4213</v>
      </c>
    </row>
    <row r="92" spans="1:2">
      <c r="A92" s="19" t="s">
        <v>4214</v>
      </c>
    </row>
    <row r="93" spans="1:2">
      <c r="A93" s="19" t="s">
        <v>4215</v>
      </c>
    </row>
    <row r="94" spans="1:2">
      <c r="A94" s="19" t="s">
        <v>4216</v>
      </c>
    </row>
    <row r="95" spans="1:2">
      <c r="A95" s="19" t="s">
        <v>4217</v>
      </c>
    </row>
    <row r="96" spans="1:2">
      <c r="A96" s="19" t="s">
        <v>4218</v>
      </c>
    </row>
    <row r="97" spans="1:1">
      <c r="A97" s="19" t="s">
        <v>4219</v>
      </c>
    </row>
    <row r="98" spans="1:1">
      <c r="A98" s="19" t="s">
        <v>4220</v>
      </c>
    </row>
    <row r="99" spans="1:1">
      <c r="A99" s="19" t="s">
        <v>4221</v>
      </c>
    </row>
    <row r="100" spans="1:1">
      <c r="A100" s="19" t="s">
        <v>4222</v>
      </c>
    </row>
    <row r="101" spans="1:1">
      <c r="A101" s="19" t="s">
        <v>4223</v>
      </c>
    </row>
    <row r="102" spans="1:1">
      <c r="A102" s="19" t="s">
        <v>4224</v>
      </c>
    </row>
    <row r="103" spans="1:1">
      <c r="A103" s="19" t="s">
        <v>4225</v>
      </c>
    </row>
    <row r="104" spans="1:1">
      <c r="A104" s="19" t="s">
        <v>4226</v>
      </c>
    </row>
    <row r="105" spans="1:1">
      <c r="A105" s="19" t="s">
        <v>4227</v>
      </c>
    </row>
    <row r="106" spans="1:1">
      <c r="A106" s="19" t="s">
        <v>4228</v>
      </c>
    </row>
    <row r="107" spans="1:1">
      <c r="A107" s="19" t="s">
        <v>4229</v>
      </c>
    </row>
    <row r="108" spans="1:1">
      <c r="A108" s="19" t="s">
        <v>4230</v>
      </c>
    </row>
    <row r="109" spans="1:1">
      <c r="A109" s="19" t="s">
        <v>4231</v>
      </c>
    </row>
    <row r="110" spans="1:1">
      <c r="A110" s="19" t="s">
        <v>4232</v>
      </c>
    </row>
    <row r="111" spans="1:1">
      <c r="A111" s="19" t="s">
        <v>8209</v>
      </c>
    </row>
    <row r="112" spans="1:1">
      <c r="A112" s="19" t="s">
        <v>4233</v>
      </c>
    </row>
    <row r="113" spans="1:4">
      <c r="A113" s="19" t="s">
        <v>4234</v>
      </c>
    </row>
    <row r="114" spans="1:4">
      <c r="A114" s="19" t="s">
        <v>4235</v>
      </c>
    </row>
    <row r="115" spans="1:4">
      <c r="A115" s="19" t="s">
        <v>4236</v>
      </c>
    </row>
    <row r="116" spans="1:4">
      <c r="A116" s="19" t="s">
        <v>4237</v>
      </c>
    </row>
    <row r="117" spans="1:4">
      <c r="A117" s="19" t="s">
        <v>4238</v>
      </c>
    </row>
    <row r="118" spans="1:4">
      <c r="A118" s="19" t="s">
        <v>4239</v>
      </c>
    </row>
    <row r="119" spans="1:4">
      <c r="A119" s="19" t="s">
        <v>4240</v>
      </c>
    </row>
    <row r="120" spans="1:4">
      <c r="A120" s="19" t="s">
        <v>4241</v>
      </c>
    </row>
    <row r="121" spans="1:4">
      <c r="A121" s="19" t="s">
        <v>4242</v>
      </c>
    </row>
    <row r="122" spans="1:4">
      <c r="A122" s="19" t="s">
        <v>4243</v>
      </c>
    </row>
    <row r="123" spans="1:4">
      <c r="A123" s="19" t="s">
        <v>4244</v>
      </c>
    </row>
    <row r="124" spans="1:4">
      <c r="A124" s="19" t="s">
        <v>4245</v>
      </c>
    </row>
    <row r="125" spans="1:4">
      <c r="A125" s="19" t="s">
        <v>4246</v>
      </c>
    </row>
    <row r="126" spans="1:4">
      <c r="A126" s="19" t="s">
        <v>4247</v>
      </c>
    </row>
    <row r="127" spans="1:4">
      <c r="A127" s="19" t="s">
        <v>4248</v>
      </c>
      <c r="B127" t="s">
        <v>4249</v>
      </c>
    </row>
    <row r="128" spans="1:4">
      <c r="A128" s="19" t="s">
        <v>4250</v>
      </c>
      <c r="B128" t="s">
        <v>4251</v>
      </c>
      <c r="D128" t="s">
        <v>4252</v>
      </c>
    </row>
    <row r="129" spans="1:1">
      <c r="A129" s="19" t="s">
        <v>4253</v>
      </c>
    </row>
    <row r="130" spans="1:1">
      <c r="A130" s="19" t="s">
        <v>4254</v>
      </c>
    </row>
    <row r="131" spans="1:1">
      <c r="A131" s="19" t="s">
        <v>4255</v>
      </c>
    </row>
    <row r="132" spans="1:1">
      <c r="A132" s="19" t="s">
        <v>4256</v>
      </c>
    </row>
    <row r="133" spans="1:1">
      <c r="A133" s="19" t="s">
        <v>4257</v>
      </c>
    </row>
    <row r="134" spans="1:1">
      <c r="A134" s="19" t="s">
        <v>4258</v>
      </c>
    </row>
    <row r="135" spans="1:1">
      <c r="A135" s="19" t="s">
        <v>4259</v>
      </c>
    </row>
    <row r="136" spans="1:1">
      <c r="A136" s="19" t="s">
        <v>4260</v>
      </c>
    </row>
    <row r="137" spans="1:1">
      <c r="A137" s="19" t="s">
        <v>4261</v>
      </c>
    </row>
    <row r="138" spans="1:1" ht="26.25">
      <c r="A138" s="19" t="s">
        <v>4262</v>
      </c>
    </row>
    <row r="139" spans="1:1" ht="26.25">
      <c r="A139" s="19" t="s">
        <v>4263</v>
      </c>
    </row>
    <row r="140" spans="1:1">
      <c r="A140" s="19" t="s">
        <v>4264</v>
      </c>
    </row>
    <row r="141" spans="1:1">
      <c r="A141" s="19" t="s">
        <v>4265</v>
      </c>
    </row>
    <row r="142" spans="1:1">
      <c r="A142" s="19" t="s">
        <v>4266</v>
      </c>
    </row>
    <row r="143" spans="1:1">
      <c r="A143" s="19" t="s">
        <v>4267</v>
      </c>
    </row>
    <row r="144" spans="1:1">
      <c r="A144" s="19" t="s">
        <v>4268</v>
      </c>
    </row>
    <row r="145" spans="1:2">
      <c r="A145" s="19" t="s">
        <v>4269</v>
      </c>
    </row>
    <row r="146" spans="1:2">
      <c r="A146" s="19" t="s">
        <v>4270</v>
      </c>
    </row>
    <row r="147" spans="1:2">
      <c r="A147" s="19" t="s">
        <v>4271</v>
      </c>
    </row>
    <row r="148" spans="1:2">
      <c r="A148" s="19" t="s">
        <v>4272</v>
      </c>
    </row>
    <row r="149" spans="1:2">
      <c r="A149" s="19" t="s">
        <v>4273</v>
      </c>
    </row>
    <row r="150" spans="1:2">
      <c r="A150" s="19" t="s">
        <v>4274</v>
      </c>
    </row>
    <row r="151" spans="1:2">
      <c r="A151" s="19" t="s">
        <v>4275</v>
      </c>
      <c r="B151" t="s">
        <v>4276</v>
      </c>
    </row>
    <row r="152" spans="1:2">
      <c r="A152" s="19" t="s">
        <v>4277</v>
      </c>
    </row>
    <row r="153" spans="1:2">
      <c r="A153" s="19" t="s">
        <v>4278</v>
      </c>
    </row>
    <row r="154" spans="1:2">
      <c r="A154" s="19" t="s">
        <v>4279</v>
      </c>
    </row>
    <row r="155" spans="1:2">
      <c r="A155" s="19" t="s">
        <v>4280</v>
      </c>
    </row>
    <row r="156" spans="1:2">
      <c r="A156" s="19" t="s">
        <v>4281</v>
      </c>
    </row>
    <row r="157" spans="1:2">
      <c r="A157" s="19" t="s">
        <v>4282</v>
      </c>
    </row>
    <row r="158" spans="1:2">
      <c r="A158" s="19" t="s">
        <v>4283</v>
      </c>
    </row>
    <row r="159" spans="1:2" ht="26.25">
      <c r="A159" s="19" t="s">
        <v>4284</v>
      </c>
    </row>
    <row r="160" spans="1:2" ht="26.25">
      <c r="A160" s="19" t="s">
        <v>4285</v>
      </c>
    </row>
    <row r="161" spans="1:2" ht="26.25">
      <c r="A161" s="19" t="s">
        <v>4286</v>
      </c>
    </row>
    <row r="162" spans="1:2">
      <c r="A162" s="19" t="s">
        <v>4287</v>
      </c>
    </row>
    <row r="163" spans="1:2">
      <c r="A163" s="19" t="s">
        <v>4288</v>
      </c>
    </row>
    <row r="164" spans="1:2">
      <c r="A164" s="19" t="s">
        <v>4289</v>
      </c>
    </row>
    <row r="165" spans="1:2">
      <c r="A165" s="19" t="s">
        <v>4290</v>
      </c>
    </row>
    <row r="166" spans="1:2">
      <c r="A166" s="19" t="s">
        <v>4291</v>
      </c>
    </row>
    <row r="167" spans="1:2">
      <c r="A167" s="19" t="s">
        <v>4292</v>
      </c>
    </row>
    <row r="168" spans="1:2">
      <c r="A168" s="19" t="s">
        <v>4293</v>
      </c>
    </row>
    <row r="169" spans="1:2">
      <c r="A169" s="19" t="s">
        <v>4294</v>
      </c>
    </row>
    <row r="170" spans="1:2">
      <c r="A170" s="19" t="s">
        <v>4295</v>
      </c>
      <c r="B170" t="s">
        <v>4296</v>
      </c>
    </row>
    <row r="171" spans="1:2">
      <c r="A171" s="19" t="s">
        <v>4297</v>
      </c>
      <c r="B171" t="s">
        <v>4298</v>
      </c>
    </row>
    <row r="172" spans="1:2">
      <c r="A172" s="19" t="s">
        <v>4299</v>
      </c>
    </row>
    <row r="173" spans="1:2">
      <c r="A173" s="19" t="s">
        <v>4300</v>
      </c>
    </row>
    <row r="174" spans="1:2">
      <c r="A174" s="19" t="s">
        <v>4301</v>
      </c>
    </row>
    <row r="175" spans="1:2">
      <c r="A175" s="19" t="s">
        <v>4302</v>
      </c>
    </row>
    <row r="176" spans="1:2">
      <c r="A176" s="19" t="s">
        <v>4303</v>
      </c>
    </row>
    <row r="177" spans="1:2">
      <c r="A177" s="19" t="s">
        <v>4304</v>
      </c>
    </row>
    <row r="178" spans="1:2" ht="26.25">
      <c r="A178" s="19" t="s">
        <v>4305</v>
      </c>
    </row>
    <row r="179" spans="1:2">
      <c r="A179" s="19" t="s">
        <v>4306</v>
      </c>
    </row>
    <row r="180" spans="1:2">
      <c r="A180" s="19" t="s">
        <v>4307</v>
      </c>
    </row>
    <row r="181" spans="1:2" ht="26.25">
      <c r="A181" s="19" t="s">
        <v>4308</v>
      </c>
    </row>
    <row r="182" spans="1:2">
      <c r="A182" s="19" t="s">
        <v>4309</v>
      </c>
    </row>
    <row r="183" spans="1:2">
      <c r="A183" s="19" t="s">
        <v>4310</v>
      </c>
    </row>
    <row r="184" spans="1:2">
      <c r="A184" s="19" t="s">
        <v>4311</v>
      </c>
    </row>
    <row r="185" spans="1:2">
      <c r="A185" s="19" t="s">
        <v>4312</v>
      </c>
    </row>
    <row r="186" spans="1:2">
      <c r="A186" s="19" t="s">
        <v>4313</v>
      </c>
      <c r="B186" t="s">
        <v>4314</v>
      </c>
    </row>
    <row r="187" spans="1:2">
      <c r="A187" s="19" t="s">
        <v>4315</v>
      </c>
    </row>
    <row r="188" spans="1:2">
      <c r="A188" s="19" t="s">
        <v>4316</v>
      </c>
    </row>
    <row r="189" spans="1:2">
      <c r="A189" s="19" t="s">
        <v>4317</v>
      </c>
    </row>
    <row r="190" spans="1:2">
      <c r="A190" s="19" t="s">
        <v>4318</v>
      </c>
    </row>
    <row r="191" spans="1:2">
      <c r="A191" s="19" t="s">
        <v>4319</v>
      </c>
    </row>
    <row r="192" spans="1:2">
      <c r="A192" s="19" t="s">
        <v>4320</v>
      </c>
    </row>
    <row r="193" spans="1:1">
      <c r="A193" s="19" t="s">
        <v>4321</v>
      </c>
    </row>
    <row r="194" spans="1:1">
      <c r="A194" s="19" t="s">
        <v>4322</v>
      </c>
    </row>
    <row r="195" spans="1:1">
      <c r="A195" s="19" t="s">
        <v>4323</v>
      </c>
    </row>
    <row r="196" spans="1:1">
      <c r="A196" s="19" t="s">
        <v>4324</v>
      </c>
    </row>
    <row r="197" spans="1:1">
      <c r="A197" s="19" t="s">
        <v>4325</v>
      </c>
    </row>
    <row r="198" spans="1:1">
      <c r="A198" s="19" t="s">
        <v>4326</v>
      </c>
    </row>
    <row r="199" spans="1:1">
      <c r="A199" s="19" t="s">
        <v>4327</v>
      </c>
    </row>
    <row r="200" spans="1:1">
      <c r="A200" s="19" t="s">
        <v>4328</v>
      </c>
    </row>
    <row r="201" spans="1:1">
      <c r="A201" s="19" t="s">
        <v>4329</v>
      </c>
    </row>
    <row r="202" spans="1:1">
      <c r="A202" s="19" t="s">
        <v>4330</v>
      </c>
    </row>
    <row r="203" spans="1:1">
      <c r="A203" s="19" t="s">
        <v>4331</v>
      </c>
    </row>
    <row r="204" spans="1:1">
      <c r="A204" s="19" t="s">
        <v>4332</v>
      </c>
    </row>
    <row r="205" spans="1:1">
      <c r="A205" s="19" t="s">
        <v>4333</v>
      </c>
    </row>
    <row r="206" spans="1:1">
      <c r="A206" s="19" t="s">
        <v>4334</v>
      </c>
    </row>
    <row r="207" spans="1:1">
      <c r="A207" s="19" t="s">
        <v>4335</v>
      </c>
    </row>
    <row r="208" spans="1:1">
      <c r="A208" s="19" t="s">
        <v>4336</v>
      </c>
    </row>
    <row r="209" spans="1:1">
      <c r="A209" s="19" t="s">
        <v>4337</v>
      </c>
    </row>
    <row r="210" spans="1:1">
      <c r="A210" s="19" t="s">
        <v>4338</v>
      </c>
    </row>
    <row r="211" spans="1:1">
      <c r="A211" s="19" t="s">
        <v>4339</v>
      </c>
    </row>
    <row r="212" spans="1:1">
      <c r="A212" s="19" t="s">
        <v>4340</v>
      </c>
    </row>
    <row r="213" spans="1:1">
      <c r="A213" s="19" t="s">
        <v>4341</v>
      </c>
    </row>
    <row r="214" spans="1:1">
      <c r="A214" s="19" t="s">
        <v>4342</v>
      </c>
    </row>
    <row r="215" spans="1:1">
      <c r="A215" s="19" t="s">
        <v>4343</v>
      </c>
    </row>
    <row r="216" spans="1:1">
      <c r="A216" s="19" t="s">
        <v>4344</v>
      </c>
    </row>
    <row r="217" spans="1:1">
      <c r="A217" s="19" t="s">
        <v>4345</v>
      </c>
    </row>
    <row r="218" spans="1:1">
      <c r="A218" s="19" t="s">
        <v>4346</v>
      </c>
    </row>
    <row r="219" spans="1:1">
      <c r="A219" s="19" t="s">
        <v>4347</v>
      </c>
    </row>
    <row r="220" spans="1:1">
      <c r="A220" s="19" t="s">
        <v>4348</v>
      </c>
    </row>
    <row r="221" spans="1:1">
      <c r="A221" s="19" t="s">
        <v>4349</v>
      </c>
    </row>
    <row r="222" spans="1:1">
      <c r="A222" s="19" t="s">
        <v>4350</v>
      </c>
    </row>
    <row r="223" spans="1:1">
      <c r="A223" s="19" t="s">
        <v>4351</v>
      </c>
    </row>
    <row r="224" spans="1:1">
      <c r="A224" s="19" t="s">
        <v>4352</v>
      </c>
    </row>
    <row r="225" spans="1:1">
      <c r="A225" s="19" t="s">
        <v>4353</v>
      </c>
    </row>
    <row r="226" spans="1:1">
      <c r="A226" s="19" t="s">
        <v>4354</v>
      </c>
    </row>
    <row r="227" spans="1:1">
      <c r="A227" s="72">
        <v>0</v>
      </c>
    </row>
    <row r="228" spans="1:1">
      <c r="A228" s="72">
        <v>0</v>
      </c>
    </row>
    <row r="229" spans="1:1">
      <c r="A229" s="72">
        <v>0</v>
      </c>
    </row>
    <row r="230" spans="1:1">
      <c r="A230" s="72">
        <v>0</v>
      </c>
    </row>
    <row r="231" spans="1:1">
      <c r="A231" s="72">
        <v>0</v>
      </c>
    </row>
    <row r="232" spans="1:1">
      <c r="A232" s="72">
        <v>0</v>
      </c>
    </row>
    <row r="233" spans="1:1">
      <c r="A233" s="72">
        <v>0</v>
      </c>
    </row>
    <row r="234" spans="1:1">
      <c r="A234" s="72">
        <v>0</v>
      </c>
    </row>
    <row r="235" spans="1:1">
      <c r="A235" s="72">
        <v>0</v>
      </c>
    </row>
    <row r="236" spans="1:1">
      <c r="A236" s="72">
        <v>0</v>
      </c>
    </row>
    <row r="237" spans="1:1">
      <c r="A237" s="19" t="s">
        <v>4355</v>
      </c>
    </row>
    <row r="238" spans="1:1">
      <c r="A238" s="19" t="s">
        <v>4356</v>
      </c>
    </row>
    <row r="239" spans="1:1">
      <c r="A239" s="19" t="s">
        <v>4357</v>
      </c>
    </row>
    <row r="240" spans="1:1">
      <c r="A240" s="19" t="s">
        <v>4358</v>
      </c>
    </row>
    <row r="241" spans="1:1">
      <c r="A241" s="19" t="s">
        <v>4359</v>
      </c>
    </row>
    <row r="242" spans="1:1">
      <c r="A242" s="19" t="s">
        <v>4360</v>
      </c>
    </row>
    <row r="243" spans="1:1">
      <c r="A243" s="19" t="s">
        <v>4361</v>
      </c>
    </row>
    <row r="244" spans="1:1">
      <c r="A244" s="19" t="s">
        <v>4362</v>
      </c>
    </row>
    <row r="245" spans="1:1">
      <c r="A245" s="19" t="s">
        <v>4363</v>
      </c>
    </row>
    <row r="246" spans="1:1">
      <c r="A246" s="19" t="s">
        <v>4364</v>
      </c>
    </row>
    <row r="247" spans="1:1">
      <c r="A247" s="19" t="s">
        <v>4365</v>
      </c>
    </row>
    <row r="248" spans="1:1">
      <c r="A248" s="19" t="s">
        <v>4366</v>
      </c>
    </row>
    <row r="249" spans="1:1">
      <c r="A249" s="19" t="s">
        <v>4367</v>
      </c>
    </row>
    <row r="250" spans="1:1">
      <c r="A250" s="19" t="s">
        <v>4368</v>
      </c>
    </row>
    <row r="251" spans="1:1">
      <c r="A251" s="19" t="s">
        <v>4369</v>
      </c>
    </row>
    <row r="252" spans="1:1">
      <c r="A252" s="19" t="s">
        <v>4370</v>
      </c>
    </row>
    <row r="253" spans="1:1">
      <c r="A253" s="19" t="s">
        <v>4371</v>
      </c>
    </row>
    <row r="254" spans="1:1">
      <c r="A254" s="19" t="s">
        <v>4372</v>
      </c>
    </row>
    <row r="255" spans="1:1">
      <c r="A255" s="19" t="s">
        <v>4373</v>
      </c>
    </row>
    <row r="256" spans="1:1">
      <c r="A256" s="19" t="s">
        <v>4374</v>
      </c>
    </row>
    <row r="257" spans="1:1">
      <c r="A257" s="19" t="s">
        <v>4375</v>
      </c>
    </row>
    <row r="258" spans="1:1">
      <c r="A258" s="19" t="s">
        <v>4376</v>
      </c>
    </row>
    <row r="259" spans="1:1">
      <c r="A259" s="19" t="s">
        <v>4377</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E365"/>
  <sheetViews>
    <sheetView topLeftCell="A67" zoomScaleNormal="100" workbookViewId="0"/>
  </sheetViews>
  <sheetFormatPr defaultColWidth="11.5703125" defaultRowHeight="15"/>
  <cols>
    <col min="1" max="1" width="89" customWidth="1"/>
  </cols>
  <sheetData>
    <row r="1" spans="1:2">
      <c r="A1" s="4" t="s">
        <v>4378</v>
      </c>
      <c r="B1" t="s">
        <v>4379</v>
      </c>
    </row>
    <row r="2" spans="1:2">
      <c r="A2" s="4" t="s">
        <v>4380</v>
      </c>
    </row>
    <row r="3" spans="1:2">
      <c r="A3" s="4" t="s">
        <v>4381</v>
      </c>
    </row>
    <row r="4" spans="1:2">
      <c r="A4" s="4" t="s">
        <v>4382</v>
      </c>
    </row>
    <row r="5" spans="1:2">
      <c r="A5" s="4" t="s">
        <v>4383</v>
      </c>
    </row>
    <row r="6" spans="1:2">
      <c r="A6" s="4"/>
    </row>
    <row r="7" spans="1:2">
      <c r="A7" s="4" t="s">
        <v>4384</v>
      </c>
    </row>
    <row r="8" spans="1:2">
      <c r="A8" s="4" t="s">
        <v>4385</v>
      </c>
    </row>
    <row r="9" spans="1:2">
      <c r="A9" s="4" t="s">
        <v>4386</v>
      </c>
    </row>
    <row r="10" spans="1:2">
      <c r="A10" s="4" t="s">
        <v>4387</v>
      </c>
    </row>
    <row r="11" spans="1:2">
      <c r="A11" s="4" t="s">
        <v>4388</v>
      </c>
    </row>
    <row r="12" spans="1:2">
      <c r="A12" s="4" t="s">
        <v>4389</v>
      </c>
    </row>
    <row r="13" spans="1:2">
      <c r="A13" s="4" t="s">
        <v>4390</v>
      </c>
    </row>
    <row r="14" spans="1:2">
      <c r="A14" s="4"/>
    </row>
    <row r="15" spans="1:2">
      <c r="A15" s="4" t="s">
        <v>4391</v>
      </c>
    </row>
    <row r="16" spans="1:2">
      <c r="A16" s="4" t="s">
        <v>4392</v>
      </c>
    </row>
    <row r="17" spans="1:1">
      <c r="A17" s="4" t="s">
        <v>4393</v>
      </c>
    </row>
    <row r="18" spans="1:1">
      <c r="A18" s="4" t="s">
        <v>4394</v>
      </c>
    </row>
    <row r="19" spans="1:1">
      <c r="A19" s="4" t="s">
        <v>4395</v>
      </c>
    </row>
    <row r="20" spans="1:1">
      <c r="A20" s="4" t="s">
        <v>4396</v>
      </c>
    </row>
    <row r="21" spans="1:1">
      <c r="A21" s="4" t="s">
        <v>4397</v>
      </c>
    </row>
    <row r="22" spans="1:1">
      <c r="A22" s="4" t="s">
        <v>4398</v>
      </c>
    </row>
    <row r="23" spans="1:1">
      <c r="A23" s="4" t="s">
        <v>4399</v>
      </c>
    </row>
    <row r="24" spans="1:1">
      <c r="A24" s="4" t="s">
        <v>4400</v>
      </c>
    </row>
    <row r="25" spans="1:1">
      <c r="A25" s="4" t="s">
        <v>4401</v>
      </c>
    </row>
    <row r="26" spans="1:1">
      <c r="A26" s="4" t="s">
        <v>4402</v>
      </c>
    </row>
    <row r="27" spans="1:1">
      <c r="A27" s="4" t="s">
        <v>4403</v>
      </c>
    </row>
    <row r="28" spans="1:1">
      <c r="A28" s="4" t="s">
        <v>4404</v>
      </c>
    </row>
    <row r="29" spans="1:1">
      <c r="A29" s="4" t="s">
        <v>4405</v>
      </c>
    </row>
    <row r="30" spans="1:1">
      <c r="A30" s="4" t="s">
        <v>4406</v>
      </c>
    </row>
    <row r="31" spans="1:1">
      <c r="A31" s="4" t="s">
        <v>4407</v>
      </c>
    </row>
    <row r="32" spans="1:1">
      <c r="A32" s="4" t="s">
        <v>4408</v>
      </c>
    </row>
    <row r="33" spans="1:1">
      <c r="A33" s="4" t="s">
        <v>4409</v>
      </c>
    </row>
    <row r="34" spans="1:1">
      <c r="A34" s="4" t="s">
        <v>4410</v>
      </c>
    </row>
    <row r="35" spans="1:1">
      <c r="A35" s="4" t="s">
        <v>4411</v>
      </c>
    </row>
    <row r="36" spans="1:1">
      <c r="A36" s="4" t="s">
        <v>4412</v>
      </c>
    </row>
    <row r="37" spans="1:1">
      <c r="A37" s="4" t="s">
        <v>4413</v>
      </c>
    </row>
    <row r="38" spans="1:1">
      <c r="A38" s="4" t="s">
        <v>4414</v>
      </c>
    </row>
    <row r="39" spans="1:1">
      <c r="A39" s="4" t="s">
        <v>4415</v>
      </c>
    </row>
    <row r="40" spans="1:1">
      <c r="A40" s="4" t="s">
        <v>4416</v>
      </c>
    </row>
    <row r="41" spans="1:1">
      <c r="A41" s="4" t="s">
        <v>4417</v>
      </c>
    </row>
    <row r="42" spans="1:1">
      <c r="A42" s="4" t="s">
        <v>4418</v>
      </c>
    </row>
    <row r="43" spans="1:1">
      <c r="A43" s="4" t="s">
        <v>4419</v>
      </c>
    </row>
    <row r="44" spans="1:1">
      <c r="A44" s="4" t="s">
        <v>4420</v>
      </c>
    </row>
    <row r="45" spans="1:1">
      <c r="A45" s="4" t="s">
        <v>4421</v>
      </c>
    </row>
    <row r="46" spans="1:1">
      <c r="A46" s="4" t="s">
        <v>4422</v>
      </c>
    </row>
    <row r="47" spans="1:1">
      <c r="A47" s="4" t="s">
        <v>4423</v>
      </c>
    </row>
    <row r="48" spans="1:1">
      <c r="A48" s="4" t="s">
        <v>4424</v>
      </c>
    </row>
    <row r="49" spans="1:1">
      <c r="A49" s="4" t="s">
        <v>4425</v>
      </c>
    </row>
    <row r="50" spans="1:1">
      <c r="A50" s="4" t="s">
        <v>4426</v>
      </c>
    </row>
    <row r="51" spans="1:1">
      <c r="A51" s="4" t="s">
        <v>4427</v>
      </c>
    </row>
    <row r="52" spans="1:1">
      <c r="A52" s="4" t="s">
        <v>4428</v>
      </c>
    </row>
    <row r="53" spans="1:1">
      <c r="A53" s="4" t="s">
        <v>4429</v>
      </c>
    </row>
    <row r="54" spans="1:1">
      <c r="A54" s="4" t="s">
        <v>4430</v>
      </c>
    </row>
    <row r="55" spans="1:1">
      <c r="A55" s="4" t="s">
        <v>4431</v>
      </c>
    </row>
    <row r="56" spans="1:1">
      <c r="A56" s="4" t="s">
        <v>4432</v>
      </c>
    </row>
    <row r="57" spans="1:1">
      <c r="A57" s="4" t="s">
        <v>4433</v>
      </c>
    </row>
    <row r="58" spans="1:1">
      <c r="A58" s="4" t="s">
        <v>4434</v>
      </c>
    </row>
    <row r="59" spans="1:1">
      <c r="A59" s="4" t="s">
        <v>4435</v>
      </c>
    </row>
    <row r="60" spans="1:1">
      <c r="A60" s="4" t="s">
        <v>4436</v>
      </c>
    </row>
    <row r="61" spans="1:1">
      <c r="A61" s="4" t="s">
        <v>4437</v>
      </c>
    </row>
    <row r="62" spans="1:1">
      <c r="A62" s="4" t="s">
        <v>4438</v>
      </c>
    </row>
    <row r="63" spans="1:1">
      <c r="A63" s="4" t="s">
        <v>4439</v>
      </c>
    </row>
    <row r="64" spans="1:1">
      <c r="A64" s="4" t="s">
        <v>4440</v>
      </c>
    </row>
    <row r="65" spans="1:1">
      <c r="A65" s="4" t="s">
        <v>4441</v>
      </c>
    </row>
    <row r="66" spans="1:1">
      <c r="A66" s="4" t="s">
        <v>4442</v>
      </c>
    </row>
    <row r="67" spans="1:1">
      <c r="A67" s="4" t="s">
        <v>4443</v>
      </c>
    </row>
    <row r="68" spans="1:1">
      <c r="A68" s="4" t="s">
        <v>4444</v>
      </c>
    </row>
    <row r="69" spans="1:1">
      <c r="A69" s="4" t="s">
        <v>4445</v>
      </c>
    </row>
    <row r="70" spans="1:1">
      <c r="A70" s="4" t="s">
        <v>4446</v>
      </c>
    </row>
    <row r="71" spans="1:1">
      <c r="A71" s="4" t="s">
        <v>4447</v>
      </c>
    </row>
    <row r="72" spans="1:1">
      <c r="A72" s="4" t="s">
        <v>4448</v>
      </c>
    </row>
    <row r="73" spans="1:1">
      <c r="A73" s="4" t="s">
        <v>4449</v>
      </c>
    </row>
    <row r="74" spans="1:1">
      <c r="A74" s="4" t="s">
        <v>4450</v>
      </c>
    </row>
    <row r="75" spans="1:1">
      <c r="A75" s="4" t="s">
        <v>4451</v>
      </c>
    </row>
    <row r="76" spans="1:1">
      <c r="A76" s="4" t="s">
        <v>4452</v>
      </c>
    </row>
    <row r="77" spans="1:1">
      <c r="A77" s="4" t="s">
        <v>4453</v>
      </c>
    </row>
    <row r="78" spans="1:1">
      <c r="A78" s="4" t="s">
        <v>4454</v>
      </c>
    </row>
    <row r="79" spans="1:1">
      <c r="A79" s="4" t="s">
        <v>4455</v>
      </c>
    </row>
    <row r="80" spans="1:1">
      <c r="A80" s="4" t="s">
        <v>4456</v>
      </c>
    </row>
    <row r="81" spans="1:1">
      <c r="A81" s="4" t="s">
        <v>4457</v>
      </c>
    </row>
    <row r="82" spans="1:1">
      <c r="A82" s="4" t="s">
        <v>4458</v>
      </c>
    </row>
    <row r="83" spans="1:1">
      <c r="A83" s="4" t="s">
        <v>4459</v>
      </c>
    </row>
    <row r="84" spans="1:1">
      <c r="A84" s="4" t="s">
        <v>4460</v>
      </c>
    </row>
    <row r="85" spans="1:1">
      <c r="A85" s="4" t="s">
        <v>4461</v>
      </c>
    </row>
    <row r="86" spans="1:1">
      <c r="A86" s="4" t="s">
        <v>4462</v>
      </c>
    </row>
    <row r="87" spans="1:1">
      <c r="A87" s="4" t="s">
        <v>4463</v>
      </c>
    </row>
    <row r="88" spans="1:1">
      <c r="A88" s="4" t="s">
        <v>4464</v>
      </c>
    </row>
    <row r="89" spans="1:1">
      <c r="A89" s="4" t="s">
        <v>4465</v>
      </c>
    </row>
    <row r="90" spans="1:1">
      <c r="A90" s="4" t="s">
        <v>4466</v>
      </c>
    </row>
    <row r="91" spans="1:1">
      <c r="A91" s="4" t="s">
        <v>4467</v>
      </c>
    </row>
    <row r="92" spans="1:1">
      <c r="A92" s="4" t="s">
        <v>4468</v>
      </c>
    </row>
    <row r="93" spans="1:1">
      <c r="A93" s="4" t="s">
        <v>4469</v>
      </c>
    </row>
    <row r="94" spans="1:1">
      <c r="A94" s="4" t="s">
        <v>4470</v>
      </c>
    </row>
    <row r="95" spans="1:1">
      <c r="A95" s="4" t="s">
        <v>4471</v>
      </c>
    </row>
    <row r="96" spans="1:1">
      <c r="A96" s="4" t="s">
        <v>4472</v>
      </c>
    </row>
    <row r="97" spans="1:1">
      <c r="A97" s="4" t="s">
        <v>4473</v>
      </c>
    </row>
    <row r="98" spans="1:1">
      <c r="A98" s="4" t="s">
        <v>4474</v>
      </c>
    </row>
    <row r="99" spans="1:1">
      <c r="A99" s="4" t="s">
        <v>4475</v>
      </c>
    </row>
    <row r="100" spans="1:1">
      <c r="A100" s="4" t="s">
        <v>4476</v>
      </c>
    </row>
    <row r="101" spans="1:1">
      <c r="A101" s="4" t="s">
        <v>4477</v>
      </c>
    </row>
    <row r="102" spans="1:1">
      <c r="A102" s="4" t="s">
        <v>4478</v>
      </c>
    </row>
    <row r="103" spans="1:1">
      <c r="A103" s="4" t="s">
        <v>4479</v>
      </c>
    </row>
    <row r="104" spans="1:1">
      <c r="A104" s="4" t="s">
        <v>4480</v>
      </c>
    </row>
    <row r="105" spans="1:1">
      <c r="A105" s="4" t="s">
        <v>4481</v>
      </c>
    </row>
    <row r="106" spans="1:1">
      <c r="A106" s="4" t="s">
        <v>4482</v>
      </c>
    </row>
    <row r="107" spans="1:1">
      <c r="A107" s="4" t="s">
        <v>4483</v>
      </c>
    </row>
    <row r="108" spans="1:1">
      <c r="A108" s="4" t="s">
        <v>4484</v>
      </c>
    </row>
    <row r="109" spans="1:1">
      <c r="A109" s="4" t="s">
        <v>4485</v>
      </c>
    </row>
    <row r="110" spans="1:1">
      <c r="A110" s="4" t="s">
        <v>4486</v>
      </c>
    </row>
    <row r="111" spans="1:1">
      <c r="A111" s="4" t="s">
        <v>4487</v>
      </c>
    </row>
    <row r="112" spans="1:1">
      <c r="A112" s="4" t="s">
        <v>4488</v>
      </c>
    </row>
    <row r="113" spans="1:1">
      <c r="A113" s="4" t="s">
        <v>4489</v>
      </c>
    </row>
    <row r="114" spans="1:1">
      <c r="A114" s="4" t="s">
        <v>4490</v>
      </c>
    </row>
    <row r="115" spans="1:1">
      <c r="A115" s="4" t="s">
        <v>4491</v>
      </c>
    </row>
    <row r="116" spans="1:1">
      <c r="A116" s="4" t="s">
        <v>4492</v>
      </c>
    </row>
    <row r="117" spans="1:1">
      <c r="A117" s="4" t="s">
        <v>4493</v>
      </c>
    </row>
    <row r="118" spans="1:1">
      <c r="A118" s="4" t="s">
        <v>4494</v>
      </c>
    </row>
    <row r="119" spans="1:1">
      <c r="A119" s="4" t="s">
        <v>4495</v>
      </c>
    </row>
    <row r="120" spans="1:1">
      <c r="A120" s="4" t="s">
        <v>4496</v>
      </c>
    </row>
    <row r="121" spans="1:1">
      <c r="A121" s="4" t="s">
        <v>4497</v>
      </c>
    </row>
    <row r="122" spans="1:1">
      <c r="A122" s="4" t="s">
        <v>4498</v>
      </c>
    </row>
    <row r="123" spans="1:1">
      <c r="A123" s="4" t="s">
        <v>4499</v>
      </c>
    </row>
    <row r="124" spans="1:1">
      <c r="A124" s="4" t="s">
        <v>4500</v>
      </c>
    </row>
    <row r="125" spans="1:1">
      <c r="A125" s="4" t="s">
        <v>4501</v>
      </c>
    </row>
    <row r="126" spans="1:1">
      <c r="A126" s="4" t="s">
        <v>4502</v>
      </c>
    </row>
    <row r="127" spans="1:1">
      <c r="A127" s="4" t="s">
        <v>4503</v>
      </c>
    </row>
    <row r="128" spans="1:1">
      <c r="A128" s="4" t="s">
        <v>4504</v>
      </c>
    </row>
    <row r="129" spans="1:5">
      <c r="A129" s="4" t="s">
        <v>4505</v>
      </c>
    </row>
    <row r="130" spans="1:5">
      <c r="A130" s="4" t="s">
        <v>4506</v>
      </c>
    </row>
    <row r="131" spans="1:5">
      <c r="A131" s="4" t="s">
        <v>4507</v>
      </c>
    </row>
    <row r="132" spans="1:5">
      <c r="A132" s="4" t="s">
        <v>4508</v>
      </c>
    </row>
    <row r="133" spans="1:5">
      <c r="A133" s="4" t="s">
        <v>4509</v>
      </c>
    </row>
    <row r="134" spans="1:5">
      <c r="A134" s="4" t="s">
        <v>4510</v>
      </c>
    </row>
    <row r="135" spans="1:5">
      <c r="A135" s="4"/>
    </row>
    <row r="136" spans="1:5">
      <c r="A136" s="4" t="s">
        <v>4511</v>
      </c>
    </row>
    <row r="137" spans="1:5">
      <c r="A137" s="4" t="s">
        <v>4512</v>
      </c>
    </row>
    <row r="138" spans="1:5">
      <c r="A138" s="4" t="s">
        <v>4513</v>
      </c>
      <c r="B138" t="s">
        <v>4514</v>
      </c>
      <c r="C138">
        <f>HEX2DEC(B138)</f>
        <v>1334012</v>
      </c>
      <c r="D138">
        <v>22050</v>
      </c>
      <c r="E138">
        <f>C138/D138</f>
        <v>60.499410430838999</v>
      </c>
    </row>
    <row r="139" spans="1:5">
      <c r="A139" s="4" t="s">
        <v>4515</v>
      </c>
    </row>
    <row r="140" spans="1:5">
      <c r="A140" s="4" t="s">
        <v>4516</v>
      </c>
    </row>
    <row r="141" spans="1:5">
      <c r="A141" s="4" t="s">
        <v>4517</v>
      </c>
    </row>
    <row r="142" spans="1:5">
      <c r="A142" s="4" t="s">
        <v>4518</v>
      </c>
    </row>
    <row r="143" spans="1:5">
      <c r="A143" s="4" t="s">
        <v>4519</v>
      </c>
    </row>
    <row r="144" spans="1:5">
      <c r="A144" s="4" t="s">
        <v>4520</v>
      </c>
    </row>
    <row r="145" spans="1:1">
      <c r="A145" s="4" t="s">
        <v>4521</v>
      </c>
    </row>
    <row r="146" spans="1:1">
      <c r="A146" s="4" t="s">
        <v>4522</v>
      </c>
    </row>
    <row r="147" spans="1:1">
      <c r="A147" s="4"/>
    </row>
    <row r="148" spans="1:1">
      <c r="A148" s="4" t="s">
        <v>4523</v>
      </c>
    </row>
    <row r="149" spans="1:1">
      <c r="A149" s="4" t="s">
        <v>4524</v>
      </c>
    </row>
    <row r="150" spans="1:1">
      <c r="A150" s="4" t="s">
        <v>4525</v>
      </c>
    </row>
    <row r="151" spans="1:1">
      <c r="A151" s="4" t="s">
        <v>4394</v>
      </c>
    </row>
    <row r="152" spans="1:1">
      <c r="A152" s="4" t="s">
        <v>4395</v>
      </c>
    </row>
    <row r="153" spans="1:1">
      <c r="A153" s="4" t="s">
        <v>4396</v>
      </c>
    </row>
    <row r="154" spans="1:1">
      <c r="A154" s="4" t="s">
        <v>4397</v>
      </c>
    </row>
    <row r="155" spans="1:1">
      <c r="A155" s="4" t="s">
        <v>4398</v>
      </c>
    </row>
    <row r="156" spans="1:1">
      <c r="A156" s="4" t="s">
        <v>4399</v>
      </c>
    </row>
    <row r="157" spans="1:1">
      <c r="A157" s="4" t="s">
        <v>4400</v>
      </c>
    </row>
    <row r="158" spans="1:1">
      <c r="A158" s="4" t="s">
        <v>4401</v>
      </c>
    </row>
    <row r="159" spans="1:1">
      <c r="A159" s="4" t="s">
        <v>4526</v>
      </c>
    </row>
    <row r="160" spans="1:1">
      <c r="A160" s="4" t="s">
        <v>4403</v>
      </c>
    </row>
    <row r="161" spans="1:1">
      <c r="A161" s="4" t="s">
        <v>4404</v>
      </c>
    </row>
    <row r="162" spans="1:1">
      <c r="A162" s="4" t="s">
        <v>4405</v>
      </c>
    </row>
    <row r="163" spans="1:1">
      <c r="A163" s="4" t="s">
        <v>4406</v>
      </c>
    </row>
    <row r="164" spans="1:1">
      <c r="A164" s="4" t="s">
        <v>4407</v>
      </c>
    </row>
    <row r="165" spans="1:1">
      <c r="A165" s="4" t="s">
        <v>4408</v>
      </c>
    </row>
    <row r="166" spans="1:1">
      <c r="A166" s="4" t="s">
        <v>4409</v>
      </c>
    </row>
    <row r="167" spans="1:1">
      <c r="A167" s="4" t="s">
        <v>4410</v>
      </c>
    </row>
    <row r="168" spans="1:1">
      <c r="A168" s="4" t="s">
        <v>4527</v>
      </c>
    </row>
    <row r="169" spans="1:1">
      <c r="A169" s="4" t="s">
        <v>4412</v>
      </c>
    </row>
    <row r="170" spans="1:1">
      <c r="A170" s="4" t="s">
        <v>4413</v>
      </c>
    </row>
    <row r="171" spans="1:1">
      <c r="A171" s="4" t="s">
        <v>4414</v>
      </c>
    </row>
    <row r="172" spans="1:1">
      <c r="A172" s="4" t="s">
        <v>4415</v>
      </c>
    </row>
    <row r="173" spans="1:1">
      <c r="A173" s="4" t="s">
        <v>4416</v>
      </c>
    </row>
    <row r="174" spans="1:1">
      <c r="A174" s="4" t="s">
        <v>4417</v>
      </c>
    </row>
    <row r="175" spans="1:1">
      <c r="A175" s="4" t="s">
        <v>4418</v>
      </c>
    </row>
    <row r="176" spans="1:1">
      <c r="A176" s="4" t="s">
        <v>4419</v>
      </c>
    </row>
    <row r="177" spans="1:1">
      <c r="A177" s="4" t="s">
        <v>4420</v>
      </c>
    </row>
    <row r="178" spans="1:1">
      <c r="A178" s="4" t="s">
        <v>4421</v>
      </c>
    </row>
    <row r="179" spans="1:1">
      <c r="A179" s="4" t="s">
        <v>4528</v>
      </c>
    </row>
    <row r="180" spans="1:1">
      <c r="A180" s="4" t="s">
        <v>4529</v>
      </c>
    </row>
    <row r="181" spans="1:1">
      <c r="A181" s="4" t="s">
        <v>4424</v>
      </c>
    </row>
    <row r="182" spans="1:1">
      <c r="A182" s="4" t="s">
        <v>4425</v>
      </c>
    </row>
    <row r="183" spans="1:1">
      <c r="A183" s="4" t="s">
        <v>4426</v>
      </c>
    </row>
    <row r="184" spans="1:1">
      <c r="A184" s="4" t="s">
        <v>4427</v>
      </c>
    </row>
    <row r="185" spans="1:1">
      <c r="A185" s="4" t="s">
        <v>4428</v>
      </c>
    </row>
    <row r="186" spans="1:1">
      <c r="A186" s="4" t="s">
        <v>4429</v>
      </c>
    </row>
    <row r="187" spans="1:1">
      <c r="A187" s="4" t="s">
        <v>4430</v>
      </c>
    </row>
    <row r="188" spans="1:1">
      <c r="A188" s="4" t="s">
        <v>4431</v>
      </c>
    </row>
    <row r="189" spans="1:1">
      <c r="A189" s="4" t="s">
        <v>4432</v>
      </c>
    </row>
    <row r="190" spans="1:1">
      <c r="A190" s="4" t="s">
        <v>4433</v>
      </c>
    </row>
    <row r="191" spans="1:1">
      <c r="A191" s="4" t="s">
        <v>4530</v>
      </c>
    </row>
    <row r="192" spans="1:1">
      <c r="A192" s="4" t="s">
        <v>4531</v>
      </c>
    </row>
    <row r="193" spans="1:1">
      <c r="A193" s="4" t="s">
        <v>4532</v>
      </c>
    </row>
    <row r="194" spans="1:1">
      <c r="A194" s="4" t="s">
        <v>4533</v>
      </c>
    </row>
    <row r="195" spans="1:1">
      <c r="A195" s="4" t="s">
        <v>4534</v>
      </c>
    </row>
    <row r="196" spans="1:1">
      <c r="A196" s="4" t="s">
        <v>4535</v>
      </c>
    </row>
    <row r="197" spans="1:1">
      <c r="A197" s="4" t="s">
        <v>4440</v>
      </c>
    </row>
    <row r="198" spans="1:1">
      <c r="A198" s="4" t="s">
        <v>4441</v>
      </c>
    </row>
    <row r="199" spans="1:1">
      <c r="A199" s="4" t="s">
        <v>4536</v>
      </c>
    </row>
    <row r="200" spans="1:1">
      <c r="A200" s="4" t="s">
        <v>4537</v>
      </c>
    </row>
    <row r="201" spans="1:1">
      <c r="A201" s="4" t="s">
        <v>4538</v>
      </c>
    </row>
    <row r="202" spans="1:1">
      <c r="A202" s="4" t="s">
        <v>4539</v>
      </c>
    </row>
    <row r="203" spans="1:1">
      <c r="A203" s="4" t="s">
        <v>4446</v>
      </c>
    </row>
    <row r="204" spans="1:1">
      <c r="A204" s="4" t="s">
        <v>4540</v>
      </c>
    </row>
    <row r="205" spans="1:1">
      <c r="A205" s="4" t="s">
        <v>4448</v>
      </c>
    </row>
    <row r="206" spans="1:1">
      <c r="A206" s="4" t="s">
        <v>4541</v>
      </c>
    </row>
    <row r="207" spans="1:1">
      <c r="A207" s="4" t="s">
        <v>4542</v>
      </c>
    </row>
    <row r="208" spans="1:1">
      <c r="A208" s="4" t="s">
        <v>4543</v>
      </c>
    </row>
    <row r="209" spans="1:1">
      <c r="A209" s="4" t="s">
        <v>4544</v>
      </c>
    </row>
    <row r="210" spans="1:1">
      <c r="A210" s="4" t="s">
        <v>4545</v>
      </c>
    </row>
    <row r="211" spans="1:1">
      <c r="A211" s="4" t="s">
        <v>4546</v>
      </c>
    </row>
    <row r="212" spans="1:1">
      <c r="A212" s="4" t="s">
        <v>4547</v>
      </c>
    </row>
    <row r="213" spans="1:1">
      <c r="A213" s="4" t="s">
        <v>4548</v>
      </c>
    </row>
    <row r="214" spans="1:1">
      <c r="A214" s="4" t="s">
        <v>4549</v>
      </c>
    </row>
    <row r="215" spans="1:1">
      <c r="A215" s="4" t="s">
        <v>4550</v>
      </c>
    </row>
    <row r="216" spans="1:1">
      <c r="A216" s="4" t="s">
        <v>4551</v>
      </c>
    </row>
    <row r="217" spans="1:1">
      <c r="A217" s="4" t="s">
        <v>4552</v>
      </c>
    </row>
    <row r="218" spans="1:1">
      <c r="A218" s="4" t="s">
        <v>4553</v>
      </c>
    </row>
    <row r="219" spans="1:1">
      <c r="A219" s="4" t="s">
        <v>4554</v>
      </c>
    </row>
    <row r="220" spans="1:1">
      <c r="A220" s="4" t="s">
        <v>4555</v>
      </c>
    </row>
    <row r="221" spans="1:1">
      <c r="A221" s="4" t="s">
        <v>4556</v>
      </c>
    </row>
    <row r="222" spans="1:1">
      <c r="A222" s="4" t="s">
        <v>4557</v>
      </c>
    </row>
    <row r="223" spans="1:1">
      <c r="A223" s="4" t="s">
        <v>4558</v>
      </c>
    </row>
    <row r="224" spans="1:1">
      <c r="A224" s="4" t="s">
        <v>4559</v>
      </c>
    </row>
    <row r="225" spans="1:1">
      <c r="A225" s="4" t="s">
        <v>4560</v>
      </c>
    </row>
    <row r="226" spans="1:1">
      <c r="A226" s="4" t="s">
        <v>4561</v>
      </c>
    </row>
    <row r="227" spans="1:1">
      <c r="A227" s="4" t="s">
        <v>4562</v>
      </c>
    </row>
    <row r="228" spans="1:1">
      <c r="A228" s="4" t="s">
        <v>4563</v>
      </c>
    </row>
    <row r="229" spans="1:1">
      <c r="A229" s="4" t="s">
        <v>4564</v>
      </c>
    </row>
    <row r="230" spans="1:1">
      <c r="A230" s="4" t="s">
        <v>4565</v>
      </c>
    </row>
    <row r="231" spans="1:1">
      <c r="A231" s="4" t="s">
        <v>4566</v>
      </c>
    </row>
    <row r="232" spans="1:1">
      <c r="A232" s="4" t="s">
        <v>4567</v>
      </c>
    </row>
    <row r="233" spans="1:1">
      <c r="A233" s="4" t="s">
        <v>4568</v>
      </c>
    </row>
    <row r="234" spans="1:1">
      <c r="A234" s="4" t="s">
        <v>4569</v>
      </c>
    </row>
    <row r="235" spans="1:1">
      <c r="A235" s="4" t="s">
        <v>4570</v>
      </c>
    </row>
    <row r="236" spans="1:1">
      <c r="A236" s="4" t="s">
        <v>4571</v>
      </c>
    </row>
    <row r="237" spans="1:1">
      <c r="A237" s="4" t="s">
        <v>4572</v>
      </c>
    </row>
    <row r="238" spans="1:1">
      <c r="A238" s="4" t="s">
        <v>4573</v>
      </c>
    </row>
    <row r="239" spans="1:1">
      <c r="A239" s="4" t="s">
        <v>4574</v>
      </c>
    </row>
    <row r="240" spans="1:1">
      <c r="A240" s="4" t="s">
        <v>4575</v>
      </c>
    </row>
    <row r="241" spans="1:1">
      <c r="A241" s="4"/>
    </row>
    <row r="242" spans="1:1">
      <c r="A242" s="4" t="s">
        <v>4576</v>
      </c>
    </row>
    <row r="243" spans="1:1">
      <c r="A243" s="4" t="s">
        <v>4577</v>
      </c>
    </row>
    <row r="244" spans="1:1">
      <c r="A244" s="4" t="s">
        <v>4578</v>
      </c>
    </row>
    <row r="245" spans="1:1">
      <c r="A245" s="4" t="s">
        <v>4394</v>
      </c>
    </row>
    <row r="246" spans="1:1">
      <c r="A246" s="4" t="s">
        <v>4579</v>
      </c>
    </row>
    <row r="247" spans="1:1">
      <c r="A247" s="4" t="s">
        <v>4580</v>
      </c>
    </row>
    <row r="248" spans="1:1">
      <c r="A248" s="4" t="s">
        <v>4581</v>
      </c>
    </row>
    <row r="249" spans="1:1">
      <c r="A249" s="4" t="s">
        <v>4582</v>
      </c>
    </row>
    <row r="250" spans="1:1">
      <c r="A250" s="4" t="s">
        <v>4583</v>
      </c>
    </row>
    <row r="251" spans="1:1">
      <c r="A251" s="4" t="s">
        <v>4584</v>
      </c>
    </row>
    <row r="252" spans="1:1">
      <c r="A252" s="4" t="s">
        <v>4401</v>
      </c>
    </row>
    <row r="253" spans="1:1">
      <c r="A253" s="4" t="s">
        <v>4526</v>
      </c>
    </row>
    <row r="254" spans="1:1">
      <c r="A254" s="4" t="s">
        <v>4403</v>
      </c>
    </row>
    <row r="255" spans="1:1">
      <c r="A255" s="4" t="s">
        <v>4404</v>
      </c>
    </row>
    <row r="256" spans="1:1">
      <c r="A256" s="4" t="s">
        <v>4405</v>
      </c>
    </row>
    <row r="257" spans="1:1">
      <c r="A257" s="4" t="s">
        <v>4406</v>
      </c>
    </row>
    <row r="258" spans="1:1">
      <c r="A258" s="4" t="s">
        <v>4407</v>
      </c>
    </row>
    <row r="259" spans="1:1">
      <c r="A259" s="4" t="s">
        <v>4408</v>
      </c>
    </row>
    <row r="260" spans="1:1">
      <c r="A260" s="4" t="s">
        <v>4409</v>
      </c>
    </row>
    <row r="261" spans="1:1">
      <c r="A261" s="4" t="s">
        <v>4410</v>
      </c>
    </row>
    <row r="262" spans="1:1">
      <c r="A262" s="4" t="s">
        <v>4411</v>
      </c>
    </row>
    <row r="263" spans="1:1">
      <c r="A263" s="4" t="s">
        <v>4412</v>
      </c>
    </row>
    <row r="264" spans="1:1">
      <c r="A264" s="4" t="s">
        <v>4413</v>
      </c>
    </row>
    <row r="265" spans="1:1">
      <c r="A265" s="4" t="s">
        <v>4414</v>
      </c>
    </row>
    <row r="266" spans="1:1">
      <c r="A266" s="4" t="s">
        <v>4415</v>
      </c>
    </row>
    <row r="267" spans="1:1">
      <c r="A267" s="4" t="s">
        <v>4585</v>
      </c>
    </row>
    <row r="268" spans="1:1">
      <c r="A268" s="4" t="s">
        <v>4586</v>
      </c>
    </row>
    <row r="269" spans="1:1">
      <c r="A269" s="4" t="s">
        <v>4587</v>
      </c>
    </row>
    <row r="270" spans="1:1">
      <c r="A270" s="4" t="s">
        <v>4588</v>
      </c>
    </row>
    <row r="271" spans="1:1">
      <c r="A271" s="4" t="s">
        <v>4589</v>
      </c>
    </row>
    <row r="272" spans="1:1">
      <c r="A272" s="4" t="s">
        <v>4421</v>
      </c>
    </row>
    <row r="273" spans="1:1">
      <c r="A273" s="4" t="s">
        <v>4528</v>
      </c>
    </row>
    <row r="274" spans="1:1">
      <c r="A274" s="4" t="s">
        <v>4529</v>
      </c>
    </row>
    <row r="275" spans="1:1">
      <c r="A275" s="4" t="s">
        <v>4424</v>
      </c>
    </row>
    <row r="276" spans="1:1">
      <c r="A276" s="4" t="s">
        <v>4590</v>
      </c>
    </row>
    <row r="277" spans="1:1">
      <c r="A277" s="4" t="s">
        <v>4591</v>
      </c>
    </row>
    <row r="278" spans="1:1">
      <c r="A278" s="4" t="s">
        <v>4592</v>
      </c>
    </row>
    <row r="279" spans="1:1">
      <c r="A279" s="4" t="s">
        <v>4593</v>
      </c>
    </row>
    <row r="280" spans="1:1">
      <c r="A280" s="4" t="s">
        <v>4594</v>
      </c>
    </row>
    <row r="281" spans="1:1">
      <c r="A281" s="4" t="s">
        <v>4595</v>
      </c>
    </row>
    <row r="282" spans="1:1">
      <c r="A282" s="4" t="s">
        <v>4431</v>
      </c>
    </row>
    <row r="283" spans="1:1">
      <c r="A283" s="4" t="s">
        <v>4432</v>
      </c>
    </row>
    <row r="284" spans="1:1">
      <c r="A284" s="4" t="s">
        <v>4433</v>
      </c>
    </row>
    <row r="285" spans="1:1">
      <c r="A285" s="4" t="s">
        <v>4530</v>
      </c>
    </row>
    <row r="286" spans="1:1">
      <c r="A286" s="4" t="s">
        <v>4531</v>
      </c>
    </row>
    <row r="287" spans="1:1">
      <c r="A287" s="4" t="s">
        <v>4532</v>
      </c>
    </row>
    <row r="288" spans="1:1">
      <c r="A288" s="4" t="s">
        <v>4596</v>
      </c>
    </row>
    <row r="289" spans="1:1">
      <c r="A289" s="4" t="s">
        <v>4597</v>
      </c>
    </row>
    <row r="290" spans="1:1">
      <c r="A290" s="4" t="s">
        <v>4598</v>
      </c>
    </row>
    <row r="291" spans="1:1">
      <c r="A291" s="4" t="s">
        <v>4599</v>
      </c>
    </row>
    <row r="292" spans="1:1">
      <c r="A292" s="4" t="s">
        <v>4600</v>
      </c>
    </row>
    <row r="293" spans="1:1">
      <c r="A293" s="4" t="s">
        <v>4601</v>
      </c>
    </row>
    <row r="294" spans="1:1">
      <c r="A294" s="4" t="s">
        <v>4602</v>
      </c>
    </row>
    <row r="295" spans="1:1">
      <c r="A295" s="4" t="s">
        <v>4603</v>
      </c>
    </row>
    <row r="296" spans="1:1">
      <c r="A296" s="4" t="s">
        <v>4604</v>
      </c>
    </row>
    <row r="297" spans="1:1">
      <c r="A297" s="4" t="s">
        <v>4605</v>
      </c>
    </row>
    <row r="298" spans="1:1">
      <c r="A298" s="4" t="s">
        <v>4606</v>
      </c>
    </row>
    <row r="299" spans="1:1">
      <c r="A299" s="4" t="s">
        <v>4607</v>
      </c>
    </row>
    <row r="300" spans="1:1">
      <c r="A300" s="4" t="s">
        <v>4608</v>
      </c>
    </row>
    <row r="301" spans="1:1">
      <c r="A301" s="4" t="s">
        <v>4609</v>
      </c>
    </row>
    <row r="302" spans="1:1">
      <c r="A302" s="4" t="s">
        <v>4610</v>
      </c>
    </row>
    <row r="303" spans="1:1">
      <c r="A303" s="4" t="s">
        <v>4611</v>
      </c>
    </row>
    <row r="304" spans="1:1">
      <c r="A304" s="4" t="s">
        <v>4612</v>
      </c>
    </row>
    <row r="305" spans="1:1">
      <c r="A305" s="4" t="s">
        <v>4613</v>
      </c>
    </row>
    <row r="306" spans="1:1">
      <c r="A306" s="4" t="s">
        <v>4614</v>
      </c>
    </row>
    <row r="307" spans="1:1">
      <c r="A307" s="4" t="s">
        <v>4615</v>
      </c>
    </row>
    <row r="308" spans="1:1">
      <c r="A308" s="4" t="s">
        <v>4616</v>
      </c>
    </row>
    <row r="309" spans="1:1">
      <c r="A309" s="4" t="s">
        <v>4617</v>
      </c>
    </row>
    <row r="310" spans="1:1">
      <c r="A310" s="4" t="s">
        <v>4618</v>
      </c>
    </row>
    <row r="311" spans="1:1">
      <c r="A311" s="4" t="s">
        <v>4619</v>
      </c>
    </row>
    <row r="312" spans="1:1">
      <c r="A312" s="4" t="s">
        <v>4620</v>
      </c>
    </row>
    <row r="313" spans="1:1">
      <c r="A313" s="4" t="s">
        <v>4621</v>
      </c>
    </row>
    <row r="314" spans="1:1">
      <c r="A314" s="4" t="s">
        <v>4622</v>
      </c>
    </row>
    <row r="315" spans="1:1">
      <c r="A315" s="4" t="s">
        <v>4623</v>
      </c>
    </row>
    <row r="316" spans="1:1">
      <c r="A316" s="4" t="s">
        <v>4624</v>
      </c>
    </row>
    <row r="317" spans="1:1">
      <c r="A317" s="4" t="s">
        <v>4625</v>
      </c>
    </row>
    <row r="318" spans="1:1">
      <c r="A318" s="4" t="s">
        <v>4626</v>
      </c>
    </row>
    <row r="319" spans="1:1">
      <c r="A319" s="4" t="s">
        <v>4627</v>
      </c>
    </row>
    <row r="320" spans="1:1">
      <c r="A320" s="4" t="s">
        <v>4628</v>
      </c>
    </row>
    <row r="321" spans="1:1">
      <c r="A321" s="4" t="s">
        <v>4629</v>
      </c>
    </row>
    <row r="322" spans="1:1">
      <c r="A322" s="4" t="s">
        <v>4630</v>
      </c>
    </row>
    <row r="323" spans="1:1">
      <c r="A323" s="4" t="s">
        <v>4631</v>
      </c>
    </row>
    <row r="324" spans="1:1">
      <c r="A324" s="4" t="s">
        <v>4632</v>
      </c>
    </row>
    <row r="325" spans="1:1">
      <c r="A325" s="4" t="s">
        <v>4633</v>
      </c>
    </row>
    <row r="326" spans="1:1">
      <c r="A326" s="4" t="s">
        <v>4634</v>
      </c>
    </row>
    <row r="327" spans="1:1">
      <c r="A327" s="4" t="s">
        <v>4635</v>
      </c>
    </row>
    <row r="328" spans="1:1">
      <c r="A328" s="4" t="s">
        <v>4636</v>
      </c>
    </row>
    <row r="329" spans="1:1">
      <c r="A329" s="4" t="s">
        <v>4637</v>
      </c>
    </row>
    <row r="330" spans="1:1">
      <c r="A330" s="4"/>
    </row>
    <row r="331" spans="1:1">
      <c r="A331" s="4" t="s">
        <v>4638</v>
      </c>
    </row>
    <row r="332" spans="1:1">
      <c r="A332" s="4" t="s">
        <v>4528</v>
      </c>
    </row>
    <row r="333" spans="1:1">
      <c r="A333" s="4" t="s">
        <v>4639</v>
      </c>
    </row>
    <row r="334" spans="1:1">
      <c r="A334" s="4" t="s">
        <v>4640</v>
      </c>
    </row>
    <row r="335" spans="1:1">
      <c r="A335" s="4" t="s">
        <v>4641</v>
      </c>
    </row>
    <row r="336" spans="1:1">
      <c r="A336" s="4" t="s">
        <v>4642</v>
      </c>
    </row>
    <row r="337" spans="1:1">
      <c r="A337" s="4" t="s">
        <v>4643</v>
      </c>
    </row>
    <row r="338" spans="1:1">
      <c r="A338" s="4"/>
    </row>
    <row r="339" spans="1:1">
      <c r="A339" s="4" t="s">
        <v>4644</v>
      </c>
    </row>
    <row r="340" spans="1:1">
      <c r="A340" s="4" t="s">
        <v>4645</v>
      </c>
    </row>
    <row r="341" spans="1:1">
      <c r="A341" s="4" t="s">
        <v>4646</v>
      </c>
    </row>
    <row r="342" spans="1:1">
      <c r="A342" s="4" t="s">
        <v>4647</v>
      </c>
    </row>
    <row r="343" spans="1:1">
      <c r="A343" s="4" t="s">
        <v>4648</v>
      </c>
    </row>
    <row r="344" spans="1:1">
      <c r="A344" s="4" t="s">
        <v>4649</v>
      </c>
    </row>
    <row r="345" spans="1:1">
      <c r="A345" s="4" t="s">
        <v>4650</v>
      </c>
    </row>
    <row r="346" spans="1:1">
      <c r="A346" s="4" t="s">
        <v>4651</v>
      </c>
    </row>
    <row r="347" spans="1:1">
      <c r="A347" s="4"/>
    </row>
    <row r="348" spans="1:1">
      <c r="A348" s="4" t="s">
        <v>4652</v>
      </c>
    </row>
    <row r="349" spans="1:1">
      <c r="A349" s="4" t="s">
        <v>4653</v>
      </c>
    </row>
    <row r="350" spans="1:1">
      <c r="A350" s="4" t="s">
        <v>4654</v>
      </c>
    </row>
    <row r="351" spans="1:1">
      <c r="A351" s="4" t="s">
        <v>4655</v>
      </c>
    </row>
    <row r="352" spans="1:1">
      <c r="A352" s="4" t="s">
        <v>4656</v>
      </c>
    </row>
    <row r="353" spans="1:1">
      <c r="A353" s="4" t="s">
        <v>4646</v>
      </c>
    </row>
    <row r="354" spans="1:1">
      <c r="A354" s="4" t="s">
        <v>4657</v>
      </c>
    </row>
    <row r="355" spans="1:1">
      <c r="A355" s="4" t="s">
        <v>4658</v>
      </c>
    </row>
    <row r="356" spans="1:1">
      <c r="A356" s="4" t="s">
        <v>4659</v>
      </c>
    </row>
    <row r="357" spans="1:1">
      <c r="A357" s="4" t="s">
        <v>4660</v>
      </c>
    </row>
    <row r="358" spans="1:1">
      <c r="A358" t="s">
        <v>4661</v>
      </c>
    </row>
    <row r="359" spans="1:1">
      <c r="A359" t="s">
        <v>4662</v>
      </c>
    </row>
    <row r="360" spans="1:1">
      <c r="A360" t="s">
        <v>4663</v>
      </c>
    </row>
    <row r="361" spans="1:1">
      <c r="A361" t="s">
        <v>4664</v>
      </c>
    </row>
    <row r="362" spans="1:1">
      <c r="A362" t="s">
        <v>4665</v>
      </c>
    </row>
    <row r="363" spans="1:1">
      <c r="A363" t="s">
        <v>4666</v>
      </c>
    </row>
    <row r="364" spans="1:1">
      <c r="A364" t="s">
        <v>4667</v>
      </c>
    </row>
    <row r="365" spans="1:1">
      <c r="A365" t="s">
        <v>4668</v>
      </c>
    </row>
  </sheetData>
  <pageMargins left="0.78749999999999998" right="0.78749999999999998" top="1.0249999999999999" bottom="1.0249999999999999" header="0.78749999999999998" footer="0.78749999999999998"/>
  <pageSetup paperSize="9" orientation="portrait" horizontalDpi="300" verticalDpi="300"/>
  <headerFooter>
    <oddHeader>&amp;C&amp;"Arial,Regular"&amp;10&amp;Kffffff&amp;A</oddHeader>
    <oddFooter>&amp;C&amp;"Arial,Regular"&amp;10&amp;KffffffPage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29"/>
  <sheetViews>
    <sheetView zoomScaleNormal="100" workbookViewId="0">
      <selection activeCell="E11" sqref="E11"/>
    </sheetView>
  </sheetViews>
  <sheetFormatPr defaultColWidth="11.5703125" defaultRowHeight="15"/>
  <cols>
    <col min="1" max="1" width="50.5703125" customWidth="1"/>
    <col min="2" max="2" width="10.140625" customWidth="1"/>
    <col min="3" max="3" width="9.7109375" style="4" customWidth="1"/>
    <col min="4" max="4" width="40.28515625" customWidth="1"/>
    <col min="5" max="64" width="9.42578125" customWidth="1"/>
  </cols>
  <sheetData>
    <row r="1" spans="1:5">
      <c r="A1" s="19" t="s">
        <v>4669</v>
      </c>
      <c r="C1" s="4" t="s">
        <v>124</v>
      </c>
      <c r="D1" t="s">
        <v>8034</v>
      </c>
      <c r="E1" t="s">
        <v>8044</v>
      </c>
    </row>
    <row r="2" spans="1:5">
      <c r="A2" s="19" t="s">
        <v>4670</v>
      </c>
      <c r="C2" s="4" t="s">
        <v>2111</v>
      </c>
      <c r="D2" t="s">
        <v>8039</v>
      </c>
    </row>
    <row r="3" spans="1:5">
      <c r="A3" s="19" t="s">
        <v>4671</v>
      </c>
      <c r="C3" s="4" t="s">
        <v>2114</v>
      </c>
      <c r="D3" t="s">
        <v>8033</v>
      </c>
    </row>
    <row r="4" spans="1:5">
      <c r="A4" s="19" t="s">
        <v>4672</v>
      </c>
      <c r="C4" s="4" t="s">
        <v>6801</v>
      </c>
    </row>
    <row r="5" spans="1:5">
      <c r="A5" s="19" t="s">
        <v>4673</v>
      </c>
      <c r="C5" s="4" t="s">
        <v>2099</v>
      </c>
      <c r="D5" t="s">
        <v>8035</v>
      </c>
    </row>
    <row r="6" spans="1:5">
      <c r="A6" s="19" t="s">
        <v>4674</v>
      </c>
      <c r="C6" s="4" t="s">
        <v>6804</v>
      </c>
      <c r="D6" t="s">
        <v>8040</v>
      </c>
    </row>
    <row r="7" spans="1:5">
      <c r="A7" s="19" t="s">
        <v>4675</v>
      </c>
      <c r="C7" s="4" t="s">
        <v>6806</v>
      </c>
    </row>
    <row r="8" spans="1:5">
      <c r="A8" s="19" t="s">
        <v>4676</v>
      </c>
      <c r="C8" s="4" t="s">
        <v>6808</v>
      </c>
      <c r="D8" t="s">
        <v>8041</v>
      </c>
    </row>
    <row r="9" spans="1:5">
      <c r="A9" s="73"/>
      <c r="C9" s="4" t="s">
        <v>2108</v>
      </c>
    </row>
    <row r="10" spans="1:5">
      <c r="A10" s="19" t="s">
        <v>4677</v>
      </c>
      <c r="C10" s="4" t="s">
        <v>6811</v>
      </c>
      <c r="D10" t="s">
        <v>8042</v>
      </c>
      <c r="E10" t="s">
        <v>8043</v>
      </c>
    </row>
    <row r="11" spans="1:5">
      <c r="A11" s="19" t="s">
        <v>4678</v>
      </c>
      <c r="C11" s="4" t="s">
        <v>1408</v>
      </c>
      <c r="D11" t="s">
        <v>8038</v>
      </c>
      <c r="E11" t="s">
        <v>8045</v>
      </c>
    </row>
    <row r="12" spans="1:5">
      <c r="A12" s="19" t="s">
        <v>4679</v>
      </c>
      <c r="C12" s="4" t="s">
        <v>6814</v>
      </c>
      <c r="D12" t="s">
        <v>8037</v>
      </c>
    </row>
    <row r="13" spans="1:5">
      <c r="A13" s="73"/>
      <c r="C13" s="4" t="s">
        <v>6816</v>
      </c>
    </row>
    <row r="14" spans="1:5">
      <c r="A14" s="19" t="s">
        <v>4680</v>
      </c>
      <c r="C14" s="4" t="s">
        <v>6863</v>
      </c>
    </row>
    <row r="15" spans="1:5">
      <c r="A15" s="19" t="s">
        <v>4681</v>
      </c>
      <c r="C15" s="4" t="s">
        <v>6818</v>
      </c>
    </row>
    <row r="16" spans="1:5">
      <c r="A16" s="73"/>
      <c r="C16" s="4" t="s">
        <v>1410</v>
      </c>
    </row>
    <row r="17" spans="1:4">
      <c r="A17" s="19" t="s">
        <v>4682</v>
      </c>
      <c r="C17" s="4" t="s">
        <v>2102</v>
      </c>
      <c r="D17" t="s">
        <v>8036</v>
      </c>
    </row>
    <row r="18" spans="1:4">
      <c r="A18" s="73"/>
      <c r="C18" s="4" t="s">
        <v>6821</v>
      </c>
      <c r="D18" t="s">
        <v>8036</v>
      </c>
    </row>
    <row r="19" spans="1:4">
      <c r="A19" s="19" t="s">
        <v>4683</v>
      </c>
      <c r="C19" s="4" t="s">
        <v>6823</v>
      </c>
    </row>
    <row r="20" spans="1:4">
      <c r="A20" s="19" t="s">
        <v>4684</v>
      </c>
      <c r="C20" s="4" t="s">
        <v>6866</v>
      </c>
    </row>
    <row r="21" spans="1:4">
      <c r="A21" s="19" t="s">
        <v>4685</v>
      </c>
    </row>
    <row r="22" spans="1:4">
      <c r="A22" s="73"/>
    </row>
    <row r="23" spans="1:4">
      <c r="A23" s="19" t="s">
        <v>4686</v>
      </c>
    </row>
    <row r="24" spans="1:4">
      <c r="A24" s="19" t="s">
        <v>4687</v>
      </c>
    </row>
    <row r="25" spans="1:4">
      <c r="A25" s="19" t="s">
        <v>4688</v>
      </c>
    </row>
    <row r="26" spans="1:4">
      <c r="A26" s="73"/>
    </row>
    <row r="27" spans="1:4">
      <c r="A27" s="19" t="s">
        <v>4689</v>
      </c>
    </row>
    <row r="29" spans="1:4">
      <c r="A29" t="s">
        <v>4690</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D146"/>
  <sheetViews>
    <sheetView zoomScaleNormal="100" workbookViewId="0">
      <selection activeCell="B11" sqref="B11"/>
    </sheetView>
  </sheetViews>
  <sheetFormatPr defaultColWidth="11.5703125" defaultRowHeight="15"/>
  <cols>
    <col min="1" max="1" width="25.85546875" customWidth="1"/>
    <col min="2" max="2" width="41" customWidth="1"/>
    <col min="3" max="3" width="19.85546875" customWidth="1"/>
    <col min="4" max="64" width="9.42578125" customWidth="1"/>
  </cols>
  <sheetData>
    <row r="1" spans="1:4">
      <c r="A1" s="19" t="s">
        <v>4691</v>
      </c>
      <c r="B1" s="19" t="s">
        <v>4691</v>
      </c>
      <c r="C1" t="str">
        <f t="shared" ref="C1:C32" si="0">MID(A1,8,50)</f>
        <v>Mitsuharu Misawa</v>
      </c>
      <c r="D1" t="str">
        <f t="shared" ref="D1:D32" si="1">MID(A1,1,4)</f>
        <v>0001</v>
      </c>
    </row>
    <row r="2" spans="1:4">
      <c r="A2" s="19" t="s">
        <v>4515</v>
      </c>
      <c r="B2" s="19" t="s">
        <v>4515</v>
      </c>
      <c r="C2" t="str">
        <f t="shared" si="0"/>
        <v>Yoshinari Ogawa</v>
      </c>
      <c r="D2" t="str">
        <f t="shared" si="1"/>
        <v>0002</v>
      </c>
    </row>
    <row r="3" spans="1:4">
      <c r="A3" s="19" t="s">
        <v>4692</v>
      </c>
      <c r="B3" s="19" t="s">
        <v>4692</v>
      </c>
      <c r="C3" t="str">
        <f t="shared" si="0"/>
        <v>Toshiaki Kawada</v>
      </c>
      <c r="D3" t="str">
        <f t="shared" si="1"/>
        <v>0003</v>
      </c>
    </row>
    <row r="4" spans="1:4">
      <c r="A4" s="19" t="s">
        <v>4693</v>
      </c>
      <c r="B4" s="19" t="s">
        <v>4693</v>
      </c>
      <c r="C4" t="str">
        <f t="shared" si="0"/>
        <v>Akira Taue</v>
      </c>
      <c r="D4" t="str">
        <f t="shared" si="1"/>
        <v>0004</v>
      </c>
    </row>
    <row r="5" spans="1:4">
      <c r="A5" s="19" t="s">
        <v>4694</v>
      </c>
      <c r="B5" s="19" t="s">
        <v>4694</v>
      </c>
      <c r="C5" t="str">
        <f t="shared" si="0"/>
        <v>Kenta Kobashi</v>
      </c>
      <c r="D5" t="str">
        <f t="shared" si="1"/>
        <v>0005</v>
      </c>
    </row>
    <row r="6" spans="1:4">
      <c r="A6" s="19" t="s">
        <v>4695</v>
      </c>
      <c r="B6" s="19" t="s">
        <v>4695</v>
      </c>
      <c r="C6" t="str">
        <f t="shared" si="0"/>
        <v>Jun Akiyama</v>
      </c>
      <c r="D6" t="str">
        <f t="shared" si="1"/>
        <v>0006</v>
      </c>
    </row>
    <row r="7" spans="1:4">
      <c r="A7" s="19" t="s">
        <v>4696</v>
      </c>
      <c r="B7" s="19" t="s">
        <v>4696</v>
      </c>
      <c r="C7" t="str">
        <f t="shared" si="0"/>
        <v>Hiroshi Hase</v>
      </c>
      <c r="D7" t="str">
        <f t="shared" si="1"/>
        <v>0007</v>
      </c>
    </row>
    <row r="8" spans="1:4">
      <c r="A8" s="19" t="s">
        <v>4697</v>
      </c>
      <c r="B8" s="19" t="s">
        <v>4697</v>
      </c>
      <c r="C8" t="str">
        <f t="shared" si="0"/>
        <v>Maunakea Mossman</v>
      </c>
      <c r="D8" t="str">
        <f t="shared" si="1"/>
        <v>0008</v>
      </c>
    </row>
    <row r="9" spans="1:4">
      <c r="A9" s="19" t="s">
        <v>4698</v>
      </c>
      <c r="B9" s="19" t="s">
        <v>4698</v>
      </c>
      <c r="C9" t="str">
        <f t="shared" si="0"/>
        <v>Yoshihiro Takayama</v>
      </c>
      <c r="D9" t="str">
        <f t="shared" si="1"/>
        <v>0009</v>
      </c>
    </row>
    <row r="10" spans="1:4">
      <c r="A10" s="19" t="s">
        <v>4699</v>
      </c>
      <c r="B10" s="19" t="s">
        <v>4699</v>
      </c>
      <c r="C10" t="str">
        <f t="shared" si="0"/>
        <v>Masahito Kakihara</v>
      </c>
      <c r="D10" t="str">
        <f t="shared" si="1"/>
        <v>000A</v>
      </c>
    </row>
    <row r="11" spans="1:4">
      <c r="A11" s="19" t="s">
        <v>4700</v>
      </c>
      <c r="B11" s="19" t="s">
        <v>4700</v>
      </c>
      <c r="C11" t="str">
        <f t="shared" si="0"/>
        <v>Giant Baba</v>
      </c>
      <c r="D11" t="str">
        <f t="shared" si="1"/>
        <v>000B</v>
      </c>
    </row>
    <row r="12" spans="1:4">
      <c r="A12" s="19" t="s">
        <v>4701</v>
      </c>
      <c r="B12" s="19" t="s">
        <v>4701</v>
      </c>
      <c r="C12" t="str">
        <f t="shared" si="0"/>
        <v>Jumbo Tsuruta</v>
      </c>
      <c r="D12" t="str">
        <f t="shared" si="1"/>
        <v>000C</v>
      </c>
    </row>
    <row r="13" spans="1:4">
      <c r="A13" s="19" t="s">
        <v>4702</v>
      </c>
      <c r="B13" s="19" t="s">
        <v>4702</v>
      </c>
      <c r="C13" t="str">
        <f t="shared" si="0"/>
        <v>Dory Funk Jr.</v>
      </c>
      <c r="D13" t="str">
        <f t="shared" si="1"/>
        <v>000D</v>
      </c>
    </row>
    <row r="14" spans="1:4">
      <c r="A14" s="19" t="s">
        <v>4703</v>
      </c>
      <c r="B14" s="19" t="s">
        <v>4704</v>
      </c>
      <c r="C14" t="str">
        <f t="shared" si="0"/>
        <v>Stan Hansen</v>
      </c>
      <c r="D14" t="str">
        <f t="shared" si="1"/>
        <v>0101</v>
      </c>
    </row>
    <row r="15" spans="1:4">
      <c r="A15" s="19" t="s">
        <v>4705</v>
      </c>
      <c r="B15" s="19" t="s">
        <v>4706</v>
      </c>
      <c r="C15" t="str">
        <f t="shared" si="0"/>
        <v>Vader</v>
      </c>
      <c r="D15" t="str">
        <f t="shared" si="1"/>
        <v>0102</v>
      </c>
    </row>
    <row r="16" spans="1:4">
      <c r="A16" s="19" t="s">
        <v>4707</v>
      </c>
      <c r="B16" s="19" t="s">
        <v>4708</v>
      </c>
      <c r="C16" t="str">
        <f t="shared" si="0"/>
        <v>Johnny Ace</v>
      </c>
      <c r="D16" t="str">
        <f t="shared" si="1"/>
        <v>0103</v>
      </c>
    </row>
    <row r="17" spans="1:4">
      <c r="A17" s="19" t="s">
        <v>4709</v>
      </c>
      <c r="B17" s="19" t="s">
        <v>4710</v>
      </c>
      <c r="C17" t="str">
        <f t="shared" si="0"/>
        <v>Mike Barton</v>
      </c>
      <c r="D17" t="str">
        <f t="shared" si="1"/>
        <v>0104</v>
      </c>
    </row>
    <row r="18" spans="1:4">
      <c r="A18" s="19" t="s">
        <v>4711</v>
      </c>
      <c r="B18" s="19" t="s">
        <v>4712</v>
      </c>
      <c r="C18" t="str">
        <f t="shared" si="0"/>
        <v>Giant Kimala</v>
      </c>
      <c r="D18" t="str">
        <f t="shared" si="1"/>
        <v>0105</v>
      </c>
    </row>
    <row r="19" spans="1:4">
      <c r="A19" s="19" t="s">
        <v>4713</v>
      </c>
      <c r="B19" s="19" t="s">
        <v>4714</v>
      </c>
      <c r="C19" t="str">
        <f t="shared" si="0"/>
        <v>Jun Izumida</v>
      </c>
      <c r="D19" t="str">
        <f t="shared" si="1"/>
        <v>0106</v>
      </c>
    </row>
    <row r="20" spans="1:4">
      <c r="A20" s="19" t="s">
        <v>4715</v>
      </c>
      <c r="B20" s="19" t="s">
        <v>4716</v>
      </c>
      <c r="C20" t="str">
        <f t="shared" si="0"/>
        <v>Gary Albright</v>
      </c>
      <c r="D20" t="str">
        <f t="shared" si="1"/>
        <v>0107</v>
      </c>
    </row>
    <row r="21" spans="1:4">
      <c r="A21" s="19" t="s">
        <v>4717</v>
      </c>
      <c r="B21" s="19" t="s">
        <v>4718</v>
      </c>
      <c r="C21" t="str">
        <f t="shared" si="0"/>
        <v>Johnny Smith</v>
      </c>
      <c r="D21" t="str">
        <f t="shared" si="1"/>
        <v>0108</v>
      </c>
    </row>
    <row r="22" spans="1:4">
      <c r="A22" s="19" t="s">
        <v>4719</v>
      </c>
      <c r="B22" s="19" t="s">
        <v>4720</v>
      </c>
      <c r="C22" t="str">
        <f t="shared" si="0"/>
        <v>Bruiser Brody</v>
      </c>
      <c r="D22" t="str">
        <f t="shared" si="1"/>
        <v>0109</v>
      </c>
    </row>
    <row r="23" spans="1:4">
      <c r="A23" s="19" t="s">
        <v>4721</v>
      </c>
      <c r="B23" s="19" t="s">
        <v>4722</v>
      </c>
      <c r="C23" t="str">
        <f t="shared" si="0"/>
        <v>Terry Gordy</v>
      </c>
      <c r="D23" t="str">
        <f t="shared" si="1"/>
        <v>010A</v>
      </c>
    </row>
    <row r="24" spans="1:4">
      <c r="A24" s="19" t="s">
        <v>4723</v>
      </c>
      <c r="B24" s="19" t="s">
        <v>4724</v>
      </c>
      <c r="C24" t="str">
        <f t="shared" si="0"/>
        <v>Dr. Death</v>
      </c>
      <c r="D24" t="str">
        <f t="shared" si="1"/>
        <v>010B</v>
      </c>
    </row>
    <row r="25" spans="1:4">
      <c r="A25" s="19" t="s">
        <v>4725</v>
      </c>
      <c r="B25" s="19" t="s">
        <v>4726</v>
      </c>
      <c r="C25" t="str">
        <f t="shared" si="0"/>
        <v>Takao Ohmori</v>
      </c>
      <c r="D25" t="str">
        <f t="shared" si="1"/>
        <v>010C</v>
      </c>
    </row>
    <row r="26" spans="1:4">
      <c r="A26" s="19" t="s">
        <v>4727</v>
      </c>
      <c r="B26" s="19" t="s">
        <v>4728</v>
      </c>
      <c r="C26" t="str">
        <f t="shared" si="0"/>
        <v>Kentaro Shiga</v>
      </c>
      <c r="D26" t="str">
        <f t="shared" si="1"/>
        <v>010D</v>
      </c>
    </row>
    <row r="27" spans="1:4">
      <c r="A27" s="19" t="s">
        <v>4729</v>
      </c>
      <c r="B27" s="19" t="s">
        <v>4730</v>
      </c>
      <c r="C27" t="str">
        <f t="shared" si="0"/>
        <v>Shinya Hashimoto</v>
      </c>
      <c r="D27" t="str">
        <f t="shared" si="1"/>
        <v>0201</v>
      </c>
    </row>
    <row r="28" spans="1:4">
      <c r="A28" s="19" t="s">
        <v>4731</v>
      </c>
      <c r="B28" s="19" t="s">
        <v>4732</v>
      </c>
      <c r="C28" t="str">
        <f t="shared" si="0"/>
        <v>Tatsuji Fujinami</v>
      </c>
      <c r="D28" t="str">
        <f t="shared" si="1"/>
        <v>0202</v>
      </c>
    </row>
    <row r="29" spans="1:4">
      <c r="A29" s="19" t="s">
        <v>4733</v>
      </c>
      <c r="B29" s="19" t="s">
        <v>4734</v>
      </c>
      <c r="C29" t="str">
        <f t="shared" si="0"/>
        <v>Kensuke Sasaki</v>
      </c>
      <c r="D29" t="str">
        <f t="shared" si="1"/>
        <v>0203</v>
      </c>
    </row>
    <row r="30" spans="1:4">
      <c r="A30" s="19" t="s">
        <v>4735</v>
      </c>
      <c r="B30" s="19" t="s">
        <v>4736</v>
      </c>
      <c r="C30" t="str">
        <f t="shared" si="0"/>
        <v>Kazuo Yamazaki</v>
      </c>
      <c r="D30" t="str">
        <f t="shared" si="1"/>
        <v>0204</v>
      </c>
    </row>
    <row r="31" spans="1:4">
      <c r="A31" s="19" t="s">
        <v>4737</v>
      </c>
      <c r="B31" s="19" t="s">
        <v>4738</v>
      </c>
      <c r="C31" t="str">
        <f t="shared" si="0"/>
        <v>Genichiro Tenryu</v>
      </c>
      <c r="D31" t="str">
        <f t="shared" si="1"/>
        <v>0205</v>
      </c>
    </row>
    <row r="32" spans="1:4">
      <c r="A32" s="19" t="s">
        <v>4739</v>
      </c>
      <c r="B32" s="19" t="s">
        <v>4740</v>
      </c>
      <c r="C32" t="str">
        <f t="shared" si="0"/>
        <v>Shiro Koshinaka</v>
      </c>
      <c r="D32" t="str">
        <f t="shared" si="1"/>
        <v>0206</v>
      </c>
    </row>
    <row r="33" spans="1:4">
      <c r="A33" s="19" t="s">
        <v>4741</v>
      </c>
      <c r="B33" s="19" t="s">
        <v>4742</v>
      </c>
      <c r="C33" t="str">
        <f t="shared" ref="C33:C64" si="2">MID(A33,8,50)</f>
        <v>Yuji Nagata</v>
      </c>
      <c r="D33" t="str">
        <f t="shared" ref="D33:D64" si="3">MID(A33,1,4)</f>
        <v>0207</v>
      </c>
    </row>
    <row r="34" spans="1:4">
      <c r="A34" s="19" t="s">
        <v>4743</v>
      </c>
      <c r="B34" s="19" t="s">
        <v>4744</v>
      </c>
      <c r="C34" t="str">
        <f t="shared" si="2"/>
        <v>Manabu Nakanishi</v>
      </c>
      <c r="D34" t="str">
        <f t="shared" si="3"/>
        <v>0208</v>
      </c>
    </row>
    <row r="35" spans="1:4">
      <c r="A35" s="19" t="s">
        <v>4745</v>
      </c>
      <c r="B35" s="19" t="s">
        <v>4746</v>
      </c>
      <c r="C35" t="str">
        <f t="shared" si="2"/>
        <v>Tadao Yasuda</v>
      </c>
      <c r="D35" t="str">
        <f t="shared" si="3"/>
        <v>0209</v>
      </c>
    </row>
    <row r="36" spans="1:4">
      <c r="A36" s="19" t="s">
        <v>4747</v>
      </c>
      <c r="B36" s="19" t="s">
        <v>4748</v>
      </c>
      <c r="C36" t="str">
        <f t="shared" si="2"/>
        <v>Naoya Ogawa</v>
      </c>
      <c r="D36" t="str">
        <f t="shared" si="3"/>
        <v>020A</v>
      </c>
    </row>
    <row r="37" spans="1:4">
      <c r="A37" s="19" t="s">
        <v>4749</v>
      </c>
      <c r="B37" s="19" t="s">
        <v>4750</v>
      </c>
      <c r="C37" t="str">
        <f t="shared" si="2"/>
        <v>Antonio Inoki</v>
      </c>
      <c r="D37" t="str">
        <f t="shared" si="3"/>
        <v>020B</v>
      </c>
    </row>
    <row r="38" spans="1:4">
      <c r="A38" s="19" t="s">
        <v>4751</v>
      </c>
      <c r="B38" s="19" t="s">
        <v>4752</v>
      </c>
      <c r="C38" t="str">
        <f t="shared" si="2"/>
        <v>Riki Chosu</v>
      </c>
      <c r="D38" t="str">
        <f t="shared" si="3"/>
        <v>020C</v>
      </c>
    </row>
    <row r="39" spans="1:4">
      <c r="A39" s="19" t="s">
        <v>4753</v>
      </c>
      <c r="B39" s="19" t="s">
        <v>4754</v>
      </c>
      <c r="C39" t="str">
        <f t="shared" si="2"/>
        <v>Don Frye</v>
      </c>
      <c r="D39" t="str">
        <f t="shared" si="3"/>
        <v>020D</v>
      </c>
    </row>
    <row r="40" spans="1:4">
      <c r="A40" s="19" t="s">
        <v>4755</v>
      </c>
      <c r="B40" s="19" t="s">
        <v>4756</v>
      </c>
      <c r="C40" t="str">
        <f t="shared" si="2"/>
        <v>Masahiro Chono</v>
      </c>
      <c r="D40" t="str">
        <f t="shared" si="3"/>
        <v>0301</v>
      </c>
    </row>
    <row r="41" spans="1:4">
      <c r="A41" s="19" t="s">
        <v>4757</v>
      </c>
      <c r="B41" s="19" t="s">
        <v>4758</v>
      </c>
      <c r="C41" t="str">
        <f t="shared" si="2"/>
        <v>Hiroyoshi Tenzan</v>
      </c>
      <c r="D41" t="str">
        <f t="shared" si="3"/>
        <v>0302</v>
      </c>
    </row>
    <row r="42" spans="1:4">
      <c r="A42" s="19" t="s">
        <v>4759</v>
      </c>
      <c r="B42" s="19" t="s">
        <v>4760</v>
      </c>
      <c r="C42" t="str">
        <f t="shared" si="2"/>
        <v>Keiji Mutoh</v>
      </c>
      <c r="D42" t="str">
        <f t="shared" si="3"/>
        <v>0303</v>
      </c>
    </row>
    <row r="43" spans="1:4">
      <c r="A43" s="19" t="s">
        <v>4761</v>
      </c>
      <c r="B43" s="19" t="s">
        <v>4762</v>
      </c>
      <c r="C43" t="str">
        <f t="shared" si="2"/>
        <v>Satoshi Kojima</v>
      </c>
      <c r="D43" t="str">
        <f t="shared" si="3"/>
        <v>0304</v>
      </c>
    </row>
    <row r="44" spans="1:4">
      <c r="A44" s="19" t="s">
        <v>4763</v>
      </c>
      <c r="B44" s="19" t="s">
        <v>4764</v>
      </c>
      <c r="C44" t="str">
        <f t="shared" si="2"/>
        <v>Hiro Saito</v>
      </c>
      <c r="D44" t="str">
        <f t="shared" si="3"/>
        <v>0305</v>
      </c>
    </row>
    <row r="45" spans="1:4">
      <c r="A45" s="19" t="s">
        <v>4765</v>
      </c>
      <c r="B45" s="19" t="s">
        <v>4766</v>
      </c>
      <c r="C45" t="str">
        <f t="shared" si="2"/>
        <v>Scott Norton</v>
      </c>
      <c r="D45" t="str">
        <f t="shared" si="3"/>
        <v>0306</v>
      </c>
    </row>
    <row r="46" spans="1:4">
      <c r="A46" s="19" t="s">
        <v>4767</v>
      </c>
      <c r="B46" s="19" t="s">
        <v>4768</v>
      </c>
      <c r="C46" t="str">
        <f t="shared" si="2"/>
        <v>The Great Muta</v>
      </c>
      <c r="D46" t="str">
        <f t="shared" si="3"/>
        <v>0307</v>
      </c>
    </row>
    <row r="47" spans="1:4">
      <c r="A47" s="19" t="s">
        <v>4769</v>
      </c>
      <c r="B47" s="19" t="s">
        <v>4770</v>
      </c>
      <c r="C47" t="str">
        <f t="shared" si="2"/>
        <v>Jushin Liger</v>
      </c>
      <c r="D47" t="str">
        <f t="shared" si="3"/>
        <v>0401</v>
      </c>
    </row>
    <row r="48" spans="1:4">
      <c r="A48" s="19" t="s">
        <v>4771</v>
      </c>
      <c r="B48" s="19" t="s">
        <v>4772</v>
      </c>
      <c r="C48" t="str">
        <f t="shared" si="2"/>
        <v>El Samurai</v>
      </c>
      <c r="D48" t="str">
        <f t="shared" si="3"/>
        <v>0402</v>
      </c>
    </row>
    <row r="49" spans="1:4">
      <c r="A49" s="19" t="s">
        <v>4773</v>
      </c>
      <c r="B49" s="19" t="s">
        <v>4774</v>
      </c>
      <c r="C49" t="str">
        <f t="shared" si="2"/>
        <v>Kendo Ka Shin</v>
      </c>
      <c r="D49" t="str">
        <f t="shared" si="3"/>
        <v>0403</v>
      </c>
    </row>
    <row r="50" spans="1:4">
      <c r="A50" s="19" t="s">
        <v>4775</v>
      </c>
      <c r="B50" s="19" t="s">
        <v>4776</v>
      </c>
      <c r="C50" t="str">
        <f t="shared" si="2"/>
        <v>Shinjiro Ohtani</v>
      </c>
      <c r="D50" t="str">
        <f t="shared" si="3"/>
        <v>0404</v>
      </c>
    </row>
    <row r="51" spans="1:4">
      <c r="A51" s="19" t="s">
        <v>4777</v>
      </c>
      <c r="B51" s="19" t="s">
        <v>4778</v>
      </c>
      <c r="C51" t="str">
        <f t="shared" si="2"/>
        <v>Tatsuhito Takaiwa</v>
      </c>
      <c r="D51" t="str">
        <f t="shared" si="3"/>
        <v>0405</v>
      </c>
    </row>
    <row r="52" spans="1:4">
      <c r="A52" s="19" t="s">
        <v>4779</v>
      </c>
      <c r="B52" s="19" t="s">
        <v>4780</v>
      </c>
      <c r="C52" t="str">
        <f t="shared" si="2"/>
        <v>Koji Kanemoto</v>
      </c>
      <c r="D52" t="str">
        <f t="shared" si="3"/>
        <v>0406</v>
      </c>
    </row>
    <row r="53" spans="1:4">
      <c r="A53" s="19" t="s">
        <v>4781</v>
      </c>
      <c r="B53" s="19" t="s">
        <v>4782</v>
      </c>
      <c r="C53" t="str">
        <f t="shared" si="2"/>
        <v>Dr. Wagner Jr.</v>
      </c>
      <c r="D53" t="str">
        <f t="shared" si="3"/>
        <v>0407</v>
      </c>
    </row>
    <row r="54" spans="1:4">
      <c r="A54" s="19" t="s">
        <v>4783</v>
      </c>
      <c r="B54" s="19" t="s">
        <v>4784</v>
      </c>
      <c r="C54" t="str">
        <f t="shared" si="2"/>
        <v>Tiger Mask</v>
      </c>
      <c r="D54" t="str">
        <f t="shared" si="3"/>
        <v>0408</v>
      </c>
    </row>
    <row r="55" spans="1:4">
      <c r="A55" s="19" t="s">
        <v>4785</v>
      </c>
      <c r="B55" s="19" t="s">
        <v>4786</v>
      </c>
      <c r="C55" t="str">
        <f t="shared" si="2"/>
        <v>Magnum Tokyo</v>
      </c>
      <c r="D55" t="str">
        <f t="shared" si="3"/>
        <v>0409</v>
      </c>
    </row>
    <row r="56" spans="1:4">
      <c r="A56" s="19" t="s">
        <v>4787</v>
      </c>
      <c r="B56" s="19" t="s">
        <v>4788</v>
      </c>
      <c r="C56" t="str">
        <f t="shared" si="2"/>
        <v>Shima Nobunaga</v>
      </c>
      <c r="D56" t="str">
        <f t="shared" si="3"/>
        <v>040A</v>
      </c>
    </row>
    <row r="57" spans="1:4">
      <c r="A57" s="19" t="s">
        <v>4789</v>
      </c>
      <c r="B57" s="19" t="s">
        <v>4790</v>
      </c>
      <c r="C57" t="str">
        <f t="shared" si="2"/>
        <v>Hayabusa</v>
      </c>
      <c r="D57" t="str">
        <f t="shared" si="3"/>
        <v>0501</v>
      </c>
    </row>
    <row r="58" spans="1:4">
      <c r="A58" s="19" t="s">
        <v>4791</v>
      </c>
      <c r="B58" s="19" t="s">
        <v>4792</v>
      </c>
      <c r="C58" t="str">
        <f t="shared" si="2"/>
        <v>Hiromichi Fuyuki</v>
      </c>
      <c r="D58" t="str">
        <f t="shared" si="3"/>
        <v>0502</v>
      </c>
    </row>
    <row r="59" spans="1:4">
      <c r="A59" s="19" t="s">
        <v>4793</v>
      </c>
      <c r="B59" s="19" t="s">
        <v>4794</v>
      </c>
      <c r="C59" t="str">
        <f t="shared" si="2"/>
        <v>Jado</v>
      </c>
      <c r="D59" t="str">
        <f t="shared" si="3"/>
        <v>0503</v>
      </c>
    </row>
    <row r="60" spans="1:4">
      <c r="A60" s="19" t="s">
        <v>4795</v>
      </c>
      <c r="B60" s="19" t="s">
        <v>4796</v>
      </c>
      <c r="C60" t="str">
        <f t="shared" si="2"/>
        <v>Gedo</v>
      </c>
      <c r="D60" t="str">
        <f t="shared" si="3"/>
        <v>0504</v>
      </c>
    </row>
    <row r="61" spans="1:4">
      <c r="A61" s="19" t="s">
        <v>4797</v>
      </c>
      <c r="B61" s="19" t="s">
        <v>4798</v>
      </c>
      <c r="C61" t="str">
        <f t="shared" si="2"/>
        <v>Mr. Gannosuke</v>
      </c>
      <c r="D61" t="str">
        <f t="shared" si="3"/>
        <v>0505</v>
      </c>
    </row>
    <row r="62" spans="1:4">
      <c r="A62" s="19" t="s">
        <v>4799</v>
      </c>
      <c r="B62" s="19" t="s">
        <v>4800</v>
      </c>
      <c r="C62" t="str">
        <f t="shared" si="2"/>
        <v>Masato Tanaka</v>
      </c>
      <c r="D62" t="str">
        <f t="shared" si="3"/>
        <v>0506</v>
      </c>
    </row>
    <row r="63" spans="1:4">
      <c r="A63" s="19" t="s">
        <v>4801</v>
      </c>
      <c r="B63" s="19" t="s">
        <v>4802</v>
      </c>
      <c r="C63" t="str">
        <f t="shared" si="2"/>
        <v>Mike Awesome</v>
      </c>
      <c r="D63" t="str">
        <f t="shared" si="3"/>
        <v>0507</v>
      </c>
    </row>
    <row r="64" spans="1:4">
      <c r="A64" s="19" t="s">
        <v>4803</v>
      </c>
      <c r="B64" s="19" t="s">
        <v>4804</v>
      </c>
      <c r="C64" t="str">
        <f t="shared" si="2"/>
        <v>Dragon Kid</v>
      </c>
      <c r="D64" t="str">
        <f t="shared" si="3"/>
        <v>0508</v>
      </c>
    </row>
    <row r="65" spans="1:4">
      <c r="A65" s="19" t="s">
        <v>4805</v>
      </c>
      <c r="B65" s="19" t="s">
        <v>4806</v>
      </c>
      <c r="C65" t="str">
        <f t="shared" ref="C65:C96" si="4">MID(A65,8,50)</f>
        <v>Atsushi Onita</v>
      </c>
      <c r="D65" t="str">
        <f t="shared" ref="D65:D96" si="5">MID(A65,1,4)</f>
        <v>0509</v>
      </c>
    </row>
    <row r="66" spans="1:4">
      <c r="A66" s="19" t="s">
        <v>4807</v>
      </c>
      <c r="B66" s="19" t="s">
        <v>4808</v>
      </c>
      <c r="C66" t="str">
        <f t="shared" si="4"/>
        <v>Terry Funk</v>
      </c>
      <c r="D66" t="str">
        <f t="shared" si="5"/>
        <v>050A</v>
      </c>
    </row>
    <row r="67" spans="1:4">
      <c r="A67" s="19" t="s">
        <v>4809</v>
      </c>
      <c r="B67" s="19" t="s">
        <v>4810</v>
      </c>
      <c r="C67" t="str">
        <f t="shared" si="4"/>
        <v>The Great Sasuke</v>
      </c>
      <c r="D67" t="str">
        <f t="shared" si="5"/>
        <v>0601</v>
      </c>
    </row>
    <row r="68" spans="1:4">
      <c r="A68" s="19" t="s">
        <v>4811</v>
      </c>
      <c r="B68" s="19" t="s">
        <v>4812</v>
      </c>
      <c r="C68" t="str">
        <f t="shared" si="4"/>
        <v>Jinsei Shinzaki</v>
      </c>
      <c r="D68" t="str">
        <f t="shared" si="5"/>
        <v>0602</v>
      </c>
    </row>
    <row r="69" spans="1:4">
      <c r="A69" s="19" t="s">
        <v>4813</v>
      </c>
      <c r="B69" s="19" t="s">
        <v>4814</v>
      </c>
      <c r="C69" t="str">
        <f t="shared" si="4"/>
        <v>Super Delfin</v>
      </c>
      <c r="D69" t="str">
        <f t="shared" si="5"/>
        <v>0603</v>
      </c>
    </row>
    <row r="70" spans="1:4">
      <c r="A70" s="19" t="s">
        <v>4815</v>
      </c>
      <c r="B70" s="19" t="s">
        <v>4816</v>
      </c>
      <c r="C70" t="str">
        <f t="shared" si="4"/>
        <v>Gran Naniwa</v>
      </c>
      <c r="D70" t="str">
        <f t="shared" si="5"/>
        <v>0604</v>
      </c>
    </row>
    <row r="71" spans="1:4">
      <c r="A71" s="19" t="s">
        <v>4817</v>
      </c>
      <c r="B71" s="19" t="s">
        <v>4818</v>
      </c>
      <c r="C71" t="str">
        <f t="shared" si="4"/>
        <v>TAKA Michinoku</v>
      </c>
      <c r="D71" t="str">
        <f t="shared" si="5"/>
        <v>0605</v>
      </c>
    </row>
    <row r="72" spans="1:4">
      <c r="A72" s="19" t="s">
        <v>4819</v>
      </c>
      <c r="B72" s="19" t="s">
        <v>4820</v>
      </c>
      <c r="C72" t="str">
        <f t="shared" si="4"/>
        <v>Mil Mascaras</v>
      </c>
      <c r="D72" t="str">
        <f t="shared" si="5"/>
        <v>0606</v>
      </c>
    </row>
    <row r="73" spans="1:4">
      <c r="A73" s="19" t="s">
        <v>4821</v>
      </c>
      <c r="B73" s="19" t="s">
        <v>4822</v>
      </c>
      <c r="C73" t="str">
        <f t="shared" si="4"/>
        <v>Enson Inoue</v>
      </c>
      <c r="D73" t="str">
        <f t="shared" si="5"/>
        <v>0607</v>
      </c>
    </row>
    <row r="74" spans="1:4">
      <c r="A74" s="19" t="s">
        <v>4823</v>
      </c>
      <c r="B74" s="19" t="s">
        <v>4824</v>
      </c>
      <c r="C74" t="str">
        <f t="shared" si="4"/>
        <v>Kiyoshi Tamura</v>
      </c>
      <c r="D74" t="str">
        <f t="shared" si="5"/>
        <v>0701</v>
      </c>
    </row>
    <row r="75" spans="1:4">
      <c r="A75" s="19" t="s">
        <v>4825</v>
      </c>
      <c r="B75" s="19" t="s">
        <v>4826</v>
      </c>
      <c r="C75" t="str">
        <f t="shared" si="4"/>
        <v>Tsuyoshi Kousaka</v>
      </c>
      <c r="D75" t="str">
        <f t="shared" si="5"/>
        <v>0702</v>
      </c>
    </row>
    <row r="76" spans="1:4">
      <c r="A76" s="19" t="s">
        <v>4827</v>
      </c>
      <c r="B76" s="19" t="s">
        <v>4828</v>
      </c>
      <c r="C76" t="str">
        <f t="shared" si="4"/>
        <v>Bitsadze Tariel</v>
      </c>
      <c r="D76" t="str">
        <f t="shared" si="5"/>
        <v>0703</v>
      </c>
    </row>
    <row r="77" spans="1:4">
      <c r="A77" s="19" t="s">
        <v>4829</v>
      </c>
      <c r="B77" s="19" t="s">
        <v>4830</v>
      </c>
      <c r="C77" t="str">
        <f t="shared" si="4"/>
        <v>Volk Han</v>
      </c>
      <c r="D77" t="str">
        <f t="shared" si="5"/>
        <v>0704</v>
      </c>
    </row>
    <row r="78" spans="1:4">
      <c r="A78" s="19" t="s">
        <v>4831</v>
      </c>
      <c r="B78" s="19" t="s">
        <v>4832</v>
      </c>
      <c r="C78" t="str">
        <f t="shared" si="4"/>
        <v>Akira Maeda</v>
      </c>
      <c r="D78" t="str">
        <f t="shared" si="5"/>
        <v>0705</v>
      </c>
    </row>
    <row r="79" spans="1:4">
      <c r="A79" s="19" t="s">
        <v>4833</v>
      </c>
      <c r="B79" s="19" t="s">
        <v>4834</v>
      </c>
      <c r="C79" t="str">
        <f t="shared" si="4"/>
        <v>Aleksandr Karelin</v>
      </c>
      <c r="D79" t="str">
        <f t="shared" si="5"/>
        <v>0706</v>
      </c>
    </row>
    <row r="80" spans="1:4">
      <c r="A80" s="19" t="s">
        <v>4835</v>
      </c>
      <c r="B80" s="19" t="s">
        <v>4836</v>
      </c>
      <c r="C80" t="str">
        <f t="shared" si="4"/>
        <v>Yuki Ishikawa</v>
      </c>
      <c r="D80" t="str">
        <f t="shared" si="5"/>
        <v>0801</v>
      </c>
    </row>
    <row r="81" spans="1:4">
      <c r="A81" s="19" t="s">
        <v>4837</v>
      </c>
      <c r="B81" s="19" t="s">
        <v>4838</v>
      </c>
      <c r="C81" t="str">
        <f t="shared" si="4"/>
        <v>Alexander Otsuka</v>
      </c>
      <c r="D81" t="str">
        <f t="shared" si="5"/>
        <v>0802</v>
      </c>
    </row>
    <row r="82" spans="1:4">
      <c r="A82" s="19" t="s">
        <v>4839</v>
      </c>
      <c r="B82" s="19" t="s">
        <v>4840</v>
      </c>
      <c r="C82" t="str">
        <f t="shared" si="4"/>
        <v>Daisuke Ikeda</v>
      </c>
      <c r="D82" t="str">
        <f t="shared" si="5"/>
        <v>0803</v>
      </c>
    </row>
    <row r="83" spans="1:4">
      <c r="A83" s="19" t="s">
        <v>4841</v>
      </c>
      <c r="B83" s="19" t="s">
        <v>4842</v>
      </c>
      <c r="C83" t="str">
        <f t="shared" si="4"/>
        <v>Minoru Tanaka</v>
      </c>
      <c r="D83" t="str">
        <f t="shared" si="5"/>
        <v>0804</v>
      </c>
    </row>
    <row r="84" spans="1:4">
      <c r="A84" s="19" t="s">
        <v>4843</v>
      </c>
      <c r="B84" s="19" t="s">
        <v>4844</v>
      </c>
      <c r="C84" t="str">
        <f t="shared" si="4"/>
        <v>Yoshiaki Fujiwara</v>
      </c>
      <c r="D84" t="str">
        <f t="shared" si="5"/>
        <v>0805</v>
      </c>
    </row>
    <row r="85" spans="1:4">
      <c r="A85" s="19" t="s">
        <v>4845</v>
      </c>
      <c r="B85" s="19" t="s">
        <v>4846</v>
      </c>
      <c r="C85" t="str">
        <f t="shared" si="4"/>
        <v>Rumina Sato</v>
      </c>
      <c r="D85" t="str">
        <f t="shared" si="5"/>
        <v>0806</v>
      </c>
    </row>
    <row r="86" spans="1:4">
      <c r="A86" s="19" t="s">
        <v>4847</v>
      </c>
      <c r="B86" s="19" t="s">
        <v>4848</v>
      </c>
      <c r="C86" t="str">
        <f t="shared" si="4"/>
        <v>Masakatsu Funaki</v>
      </c>
      <c r="D86" t="str">
        <f t="shared" si="5"/>
        <v>0901</v>
      </c>
    </row>
    <row r="87" spans="1:4">
      <c r="A87" s="19" t="s">
        <v>4849</v>
      </c>
      <c r="B87" s="19" t="s">
        <v>4850</v>
      </c>
      <c r="C87" t="str">
        <f t="shared" si="4"/>
        <v>Yoshiki Takahashi</v>
      </c>
      <c r="D87" t="str">
        <f t="shared" si="5"/>
        <v>0902</v>
      </c>
    </row>
    <row r="88" spans="1:4">
      <c r="A88" s="19" t="s">
        <v>4851</v>
      </c>
      <c r="B88" s="19" t="s">
        <v>4852</v>
      </c>
      <c r="C88" t="str">
        <f t="shared" si="4"/>
        <v>Minoru Suzuki</v>
      </c>
      <c r="D88" t="str">
        <f t="shared" si="5"/>
        <v>0903</v>
      </c>
    </row>
    <row r="89" spans="1:4">
      <c r="A89" s="19" t="s">
        <v>4853</v>
      </c>
      <c r="B89" s="19" t="s">
        <v>4854</v>
      </c>
      <c r="C89" t="str">
        <f t="shared" si="4"/>
        <v>Kengo Watanabe</v>
      </c>
      <c r="D89" t="str">
        <f t="shared" si="5"/>
        <v>0904</v>
      </c>
    </row>
    <row r="90" spans="1:4">
      <c r="A90" s="19" t="s">
        <v>4855</v>
      </c>
      <c r="B90" s="19" t="s">
        <v>4856</v>
      </c>
      <c r="C90" t="str">
        <f t="shared" si="4"/>
        <v>Bas Rutten</v>
      </c>
      <c r="D90" t="str">
        <f t="shared" si="5"/>
        <v>0905</v>
      </c>
    </row>
    <row r="91" spans="1:4">
      <c r="A91" s="19" t="s">
        <v>4857</v>
      </c>
      <c r="B91" s="19" t="s">
        <v>4858</v>
      </c>
      <c r="C91" t="str">
        <f t="shared" si="4"/>
        <v>Semmy Schilt</v>
      </c>
      <c r="D91" t="str">
        <f t="shared" si="5"/>
        <v>0906</v>
      </c>
    </row>
    <row r="92" spans="1:4">
      <c r="A92" s="19" t="s">
        <v>4859</v>
      </c>
      <c r="B92" s="19" t="s">
        <v>4860</v>
      </c>
      <c r="C92" t="str">
        <f t="shared" si="4"/>
        <v>Nobuhiko Takada</v>
      </c>
      <c r="D92" t="str">
        <f t="shared" si="5"/>
        <v>0A01</v>
      </c>
    </row>
    <row r="93" spans="1:4">
      <c r="A93" s="19" t="s">
        <v>4861</v>
      </c>
      <c r="B93" s="19" t="s">
        <v>4862</v>
      </c>
      <c r="C93" t="str">
        <f t="shared" si="4"/>
        <v>Kazushi Sakuraba</v>
      </c>
      <c r="D93" t="str">
        <f t="shared" si="5"/>
        <v>0A02</v>
      </c>
    </row>
    <row r="94" spans="1:4">
      <c r="A94" s="19" t="s">
        <v>4863</v>
      </c>
      <c r="B94" s="19" t="s">
        <v>4864</v>
      </c>
      <c r="C94" t="str">
        <f t="shared" si="4"/>
        <v>Mark Kerr</v>
      </c>
      <c r="D94" t="str">
        <f t="shared" si="5"/>
        <v>0A03</v>
      </c>
    </row>
    <row r="95" spans="1:4">
      <c r="A95" s="19" t="s">
        <v>4865</v>
      </c>
      <c r="B95" s="19" t="s">
        <v>4866</v>
      </c>
      <c r="C95" t="str">
        <f t="shared" si="4"/>
        <v>Rickson Gracie</v>
      </c>
      <c r="D95" t="str">
        <f t="shared" si="5"/>
        <v>0A04</v>
      </c>
    </row>
    <row r="96" spans="1:4">
      <c r="A96" s="19" t="s">
        <v>4867</v>
      </c>
      <c r="B96" s="19" t="s">
        <v>4868</v>
      </c>
      <c r="C96" t="str">
        <f t="shared" si="4"/>
        <v>Andre the Giant</v>
      </c>
      <c r="D96" t="str">
        <f t="shared" si="5"/>
        <v>0B01</v>
      </c>
    </row>
    <row r="97" spans="1:4">
      <c r="A97" s="19" t="s">
        <v>4869</v>
      </c>
      <c r="B97" s="19" t="s">
        <v>4870</v>
      </c>
      <c r="C97" t="str">
        <f t="shared" ref="C97:C128" si="6">MID(A97,8,50)</f>
        <v>Ultimo Dragon</v>
      </c>
      <c r="D97" t="str">
        <f t="shared" ref="D97:D114" si="7">MID(A97,1,4)</f>
        <v>0B02</v>
      </c>
    </row>
    <row r="98" spans="1:4">
      <c r="A98" s="19" t="s">
        <v>4871</v>
      </c>
      <c r="B98" s="19" t="s">
        <v>4872</v>
      </c>
      <c r="C98" t="str">
        <f t="shared" si="6"/>
        <v>Abdullah the Butcher</v>
      </c>
      <c r="D98" t="str">
        <f t="shared" si="7"/>
        <v>0B03</v>
      </c>
    </row>
    <row r="99" spans="1:4">
      <c r="A99" s="19" t="s">
        <v>4873</v>
      </c>
      <c r="B99" s="19" t="s">
        <v>4874</v>
      </c>
      <c r="C99" t="str">
        <f t="shared" si="6"/>
        <v>Original A</v>
      </c>
      <c r="D99" t="str">
        <f t="shared" si="7"/>
        <v>0C01</v>
      </c>
    </row>
    <row r="100" spans="1:4">
      <c r="A100" s="19" t="s">
        <v>4875</v>
      </c>
      <c r="B100" s="19" t="s">
        <v>4876</v>
      </c>
      <c r="C100" t="str">
        <f t="shared" si="6"/>
        <v>Original B</v>
      </c>
      <c r="D100" t="str">
        <f t="shared" si="7"/>
        <v>0C02</v>
      </c>
    </row>
    <row r="101" spans="1:4">
      <c r="A101" s="19" t="s">
        <v>4877</v>
      </c>
      <c r="B101" s="19" t="s">
        <v>4878</v>
      </c>
      <c r="C101" t="str">
        <f t="shared" si="6"/>
        <v>Original C</v>
      </c>
      <c r="D101" t="str">
        <f t="shared" si="7"/>
        <v>0C03</v>
      </c>
    </row>
    <row r="102" spans="1:4">
      <c r="A102" s="19" t="s">
        <v>4879</v>
      </c>
      <c r="B102" s="19" t="s">
        <v>4880</v>
      </c>
      <c r="C102" t="str">
        <f t="shared" si="6"/>
        <v>Original D</v>
      </c>
      <c r="D102" t="str">
        <f t="shared" si="7"/>
        <v>0C04</v>
      </c>
    </row>
    <row r="103" spans="1:4">
      <c r="A103" s="19" t="s">
        <v>4881</v>
      </c>
      <c r="B103" s="19" t="s">
        <v>4882</v>
      </c>
      <c r="C103" t="str">
        <f t="shared" si="6"/>
        <v>Original E</v>
      </c>
      <c r="D103" t="str">
        <f t="shared" si="7"/>
        <v>0C05</v>
      </c>
    </row>
    <row r="104" spans="1:4">
      <c r="A104" s="19" t="s">
        <v>4883</v>
      </c>
      <c r="B104" s="19" t="s">
        <v>4884</v>
      </c>
      <c r="C104" t="str">
        <f t="shared" si="6"/>
        <v>Original F</v>
      </c>
      <c r="D104" t="str">
        <f t="shared" si="7"/>
        <v>0C06</v>
      </c>
    </row>
    <row r="105" spans="1:4">
      <c r="A105" s="19" t="s">
        <v>4885</v>
      </c>
      <c r="B105" s="19" t="s">
        <v>4886</v>
      </c>
      <c r="C105" t="str">
        <f t="shared" si="6"/>
        <v>Original G</v>
      </c>
      <c r="D105" t="str">
        <f t="shared" si="7"/>
        <v>0C07</v>
      </c>
    </row>
    <row r="106" spans="1:4">
      <c r="A106" s="19" t="s">
        <v>4887</v>
      </c>
      <c r="B106" s="19" t="s">
        <v>4888</v>
      </c>
      <c r="C106" t="str">
        <f t="shared" si="6"/>
        <v>Original H</v>
      </c>
      <c r="D106" t="str">
        <f t="shared" si="7"/>
        <v>0C08</v>
      </c>
    </row>
    <row r="107" spans="1:4">
      <c r="A107" s="19" t="s">
        <v>4889</v>
      </c>
      <c r="B107" s="19" t="s">
        <v>4890</v>
      </c>
      <c r="C107" t="str">
        <f t="shared" si="6"/>
        <v>Original I</v>
      </c>
      <c r="D107" t="str">
        <f t="shared" si="7"/>
        <v>0C09</v>
      </c>
    </row>
    <row r="108" spans="1:4">
      <c r="A108" s="19" t="s">
        <v>4891</v>
      </c>
      <c r="B108" s="19" t="s">
        <v>4892</v>
      </c>
      <c r="C108" t="str">
        <f t="shared" si="6"/>
        <v>Original J</v>
      </c>
      <c r="D108" t="str">
        <f t="shared" si="7"/>
        <v>0C0A</v>
      </c>
    </row>
    <row r="109" spans="1:4">
      <c r="A109" s="19" t="s">
        <v>4893</v>
      </c>
      <c r="B109" s="19" t="s">
        <v>4894</v>
      </c>
      <c r="C109" t="str">
        <f t="shared" si="6"/>
        <v>Original K</v>
      </c>
      <c r="D109" t="str">
        <f t="shared" si="7"/>
        <v>0C0B</v>
      </c>
    </row>
    <row r="110" spans="1:4">
      <c r="A110" s="19" t="s">
        <v>4895</v>
      </c>
      <c r="B110" s="19" t="s">
        <v>4896</v>
      </c>
      <c r="C110" t="str">
        <f t="shared" si="6"/>
        <v>Original L</v>
      </c>
      <c r="D110" t="str">
        <f t="shared" si="7"/>
        <v>0C0C</v>
      </c>
    </row>
    <row r="111" spans="1:4">
      <c r="A111" s="19" t="s">
        <v>4897</v>
      </c>
      <c r="B111" s="19" t="s">
        <v>4898</v>
      </c>
      <c r="C111" t="str">
        <f t="shared" si="6"/>
        <v>Original M</v>
      </c>
      <c r="D111" t="str">
        <f t="shared" si="7"/>
        <v>0C0D</v>
      </c>
    </row>
    <row r="112" spans="1:4">
      <c r="A112" s="19" t="s">
        <v>4899</v>
      </c>
      <c r="B112" s="19" t="s">
        <v>4900</v>
      </c>
      <c r="C112" t="str">
        <f t="shared" si="6"/>
        <v>Original N</v>
      </c>
      <c r="D112" t="str">
        <f t="shared" si="7"/>
        <v>0C0E</v>
      </c>
    </row>
    <row r="113" spans="1:4">
      <c r="A113" s="19" t="s">
        <v>4901</v>
      </c>
      <c r="B113" s="19" t="s">
        <v>4902</v>
      </c>
      <c r="C113" t="str">
        <f t="shared" si="6"/>
        <v>Original O</v>
      </c>
      <c r="D113" t="str">
        <f t="shared" si="7"/>
        <v>0C0F</v>
      </c>
    </row>
    <row r="114" spans="1:4">
      <c r="A114" s="19" t="s">
        <v>4903</v>
      </c>
      <c r="B114" s="19" t="s">
        <v>4904</v>
      </c>
      <c r="C114" t="str">
        <f t="shared" si="6"/>
        <v>Original P</v>
      </c>
      <c r="D114" t="str">
        <f t="shared" si="7"/>
        <v>0C10</v>
      </c>
    </row>
    <row r="115" spans="1:4">
      <c r="C115" t="str">
        <f t="shared" si="6"/>
        <v/>
      </c>
      <c r="D115" t="str">
        <f t="shared" ref="D115:D146" si="8">MID(B115,1,4)</f>
        <v/>
      </c>
    </row>
    <row r="116" spans="1:4">
      <c r="C116" t="str">
        <f t="shared" si="6"/>
        <v/>
      </c>
      <c r="D116" t="str">
        <f t="shared" si="8"/>
        <v/>
      </c>
    </row>
    <row r="117" spans="1:4">
      <c r="C117" t="str">
        <f t="shared" si="6"/>
        <v/>
      </c>
      <c r="D117" t="str">
        <f t="shared" si="8"/>
        <v/>
      </c>
    </row>
    <row r="118" spans="1:4">
      <c r="C118" t="str">
        <f t="shared" si="6"/>
        <v/>
      </c>
      <c r="D118" t="str">
        <f t="shared" si="8"/>
        <v/>
      </c>
    </row>
    <row r="119" spans="1:4">
      <c r="C119" t="str">
        <f t="shared" si="6"/>
        <v/>
      </c>
      <c r="D119" t="str">
        <f t="shared" si="8"/>
        <v/>
      </c>
    </row>
    <row r="120" spans="1:4">
      <c r="C120" t="str">
        <f t="shared" si="6"/>
        <v/>
      </c>
      <c r="D120" t="str">
        <f t="shared" si="8"/>
        <v/>
      </c>
    </row>
    <row r="121" spans="1:4">
      <c r="C121" t="str">
        <f t="shared" si="6"/>
        <v/>
      </c>
      <c r="D121" t="str">
        <f t="shared" si="8"/>
        <v/>
      </c>
    </row>
    <row r="122" spans="1:4">
      <c r="C122" t="str">
        <f t="shared" si="6"/>
        <v/>
      </c>
      <c r="D122" t="str">
        <f t="shared" si="8"/>
        <v/>
      </c>
    </row>
    <row r="123" spans="1:4">
      <c r="C123" t="str">
        <f t="shared" si="6"/>
        <v/>
      </c>
      <c r="D123" t="str">
        <f t="shared" si="8"/>
        <v/>
      </c>
    </row>
    <row r="124" spans="1:4">
      <c r="C124" t="str">
        <f t="shared" si="6"/>
        <v/>
      </c>
      <c r="D124" t="str">
        <f t="shared" si="8"/>
        <v/>
      </c>
    </row>
    <row r="125" spans="1:4">
      <c r="C125" t="str">
        <f t="shared" si="6"/>
        <v/>
      </c>
      <c r="D125" t="str">
        <f t="shared" si="8"/>
        <v/>
      </c>
    </row>
    <row r="126" spans="1:4">
      <c r="C126" t="str">
        <f t="shared" si="6"/>
        <v/>
      </c>
      <c r="D126" t="str">
        <f t="shared" si="8"/>
        <v/>
      </c>
    </row>
    <row r="127" spans="1:4">
      <c r="C127" t="str">
        <f t="shared" si="6"/>
        <v/>
      </c>
      <c r="D127" t="str">
        <f t="shared" si="8"/>
        <v/>
      </c>
    </row>
    <row r="128" spans="1:4">
      <c r="C128" t="str">
        <f t="shared" si="6"/>
        <v/>
      </c>
      <c r="D128" t="str">
        <f t="shared" si="8"/>
        <v/>
      </c>
    </row>
    <row r="129" spans="3:4">
      <c r="C129" t="str">
        <f t="shared" ref="C129:C144" si="9">MID(A129,8,50)</f>
        <v/>
      </c>
      <c r="D129" t="str">
        <f t="shared" si="8"/>
        <v/>
      </c>
    </row>
    <row r="130" spans="3:4">
      <c r="C130" t="str">
        <f t="shared" si="9"/>
        <v/>
      </c>
      <c r="D130" t="str">
        <f t="shared" si="8"/>
        <v/>
      </c>
    </row>
    <row r="131" spans="3:4">
      <c r="C131" t="str">
        <f t="shared" si="9"/>
        <v/>
      </c>
      <c r="D131" t="str">
        <f t="shared" si="8"/>
        <v/>
      </c>
    </row>
    <row r="132" spans="3:4">
      <c r="C132" t="str">
        <f t="shared" si="9"/>
        <v/>
      </c>
      <c r="D132" t="str">
        <f t="shared" si="8"/>
        <v/>
      </c>
    </row>
    <row r="133" spans="3:4">
      <c r="C133" t="str">
        <f t="shared" si="9"/>
        <v/>
      </c>
      <c r="D133" t="str">
        <f t="shared" si="8"/>
        <v/>
      </c>
    </row>
    <row r="134" spans="3:4">
      <c r="C134" t="str">
        <f t="shared" si="9"/>
        <v/>
      </c>
      <c r="D134" t="str">
        <f t="shared" si="8"/>
        <v/>
      </c>
    </row>
    <row r="135" spans="3:4">
      <c r="C135" t="str">
        <f t="shared" si="9"/>
        <v/>
      </c>
      <c r="D135" t="str">
        <f t="shared" si="8"/>
        <v/>
      </c>
    </row>
    <row r="136" spans="3:4">
      <c r="C136" t="str">
        <f t="shared" si="9"/>
        <v/>
      </c>
      <c r="D136" t="str">
        <f t="shared" si="8"/>
        <v/>
      </c>
    </row>
    <row r="137" spans="3:4">
      <c r="C137" t="str">
        <f t="shared" si="9"/>
        <v/>
      </c>
      <c r="D137" t="str">
        <f t="shared" si="8"/>
        <v/>
      </c>
    </row>
    <row r="138" spans="3:4">
      <c r="C138" t="str">
        <f t="shared" si="9"/>
        <v/>
      </c>
      <c r="D138" t="str">
        <f t="shared" si="8"/>
        <v/>
      </c>
    </row>
    <row r="139" spans="3:4">
      <c r="C139" t="str">
        <f t="shared" si="9"/>
        <v/>
      </c>
      <c r="D139" t="str">
        <f t="shared" si="8"/>
        <v/>
      </c>
    </row>
    <row r="140" spans="3:4">
      <c r="C140" t="str">
        <f t="shared" si="9"/>
        <v/>
      </c>
      <c r="D140" t="str">
        <f t="shared" si="8"/>
        <v/>
      </c>
    </row>
    <row r="141" spans="3:4">
      <c r="C141" t="str">
        <f t="shared" si="9"/>
        <v/>
      </c>
      <c r="D141" t="str">
        <f t="shared" si="8"/>
        <v/>
      </c>
    </row>
    <row r="142" spans="3:4">
      <c r="C142" t="str">
        <f t="shared" si="9"/>
        <v/>
      </c>
      <c r="D142" t="str">
        <f t="shared" si="8"/>
        <v/>
      </c>
    </row>
    <row r="143" spans="3:4">
      <c r="C143" t="str">
        <f t="shared" si="9"/>
        <v/>
      </c>
      <c r="D143" t="str">
        <f t="shared" si="8"/>
        <v/>
      </c>
    </row>
    <row r="144" spans="3:4">
      <c r="C144" t="str">
        <f t="shared" si="9"/>
        <v/>
      </c>
      <c r="D144" t="str">
        <f t="shared" si="8"/>
        <v/>
      </c>
    </row>
    <row r="145" spans="4:4">
      <c r="D145" t="str">
        <f t="shared" si="8"/>
        <v/>
      </c>
    </row>
    <row r="146" spans="4:4">
      <c r="D146" t="str">
        <f t="shared" si="8"/>
        <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18"/>
  <sheetViews>
    <sheetView zoomScaleNormal="100" workbookViewId="0">
      <selection activeCell="B3" sqref="B3"/>
    </sheetView>
  </sheetViews>
  <sheetFormatPr defaultColWidth="11.5703125" defaultRowHeight="15"/>
  <cols>
    <col min="1" max="1" width="56.5703125" customWidth="1"/>
    <col min="2" max="2" width="25.140625" customWidth="1"/>
    <col min="3" max="64" width="9.42578125" customWidth="1"/>
  </cols>
  <sheetData>
    <row r="1" spans="1:2">
      <c r="A1" s="74" t="s">
        <v>4905</v>
      </c>
    </row>
    <row r="2" spans="1:2">
      <c r="A2" s="74" t="s">
        <v>4906</v>
      </c>
      <c r="B2" t="s">
        <v>8259</v>
      </c>
    </row>
    <row r="3" spans="1:2">
      <c r="A3" s="74" t="s">
        <v>4907</v>
      </c>
    </row>
    <row r="4" spans="1:2" ht="40.5">
      <c r="A4" s="74" t="s">
        <v>4908</v>
      </c>
      <c r="B4" t="s">
        <v>8258</v>
      </c>
    </row>
    <row r="5" spans="1:2">
      <c r="A5" s="74" t="s">
        <v>4909</v>
      </c>
    </row>
    <row r="6" spans="1:2">
      <c r="A6" s="74" t="s">
        <v>4910</v>
      </c>
    </row>
    <row r="7" spans="1:2">
      <c r="A7" s="74" t="s">
        <v>4911</v>
      </c>
    </row>
    <row r="8" spans="1:2">
      <c r="A8" s="74" t="s">
        <v>4912</v>
      </c>
    </row>
    <row r="9" spans="1:2">
      <c r="A9" s="74" t="s">
        <v>4913</v>
      </c>
    </row>
    <row r="10" spans="1:2">
      <c r="A10" s="74" t="s">
        <v>4914</v>
      </c>
    </row>
    <row r="11" spans="1:2">
      <c r="A11" s="74" t="s">
        <v>4915</v>
      </c>
    </row>
    <row r="12" spans="1:2">
      <c r="A12" s="74" t="s">
        <v>4916</v>
      </c>
    </row>
    <row r="13" spans="1:2">
      <c r="A13" s="74" t="s">
        <v>4917</v>
      </c>
    </row>
    <row r="14" spans="1:2">
      <c r="A14" s="74" t="s">
        <v>4918</v>
      </c>
    </row>
    <row r="15" spans="1:2">
      <c r="A15" s="74" t="s">
        <v>4919</v>
      </c>
    </row>
    <row r="16" spans="1:2">
      <c r="A16" s="74" t="s">
        <v>4920</v>
      </c>
    </row>
    <row r="17" spans="1:1">
      <c r="A17" s="74" t="s">
        <v>4921</v>
      </c>
    </row>
    <row r="18" spans="1:1">
      <c r="A18" s="74" t="s">
        <v>4922</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6"/>
  <sheetViews>
    <sheetView zoomScaleNormal="100" workbookViewId="0"/>
  </sheetViews>
  <sheetFormatPr defaultColWidth="11.5703125" defaultRowHeight="15"/>
  <cols>
    <col min="1" max="1" width="50.42578125" customWidth="1"/>
    <col min="2" max="2" width="11.7109375" customWidth="1"/>
    <col min="3" max="64" width="9.42578125" customWidth="1"/>
  </cols>
  <sheetData>
    <row r="1" spans="1:2">
      <c r="A1" s="19" t="s">
        <v>4923</v>
      </c>
      <c r="B1" t="s">
        <v>4924</v>
      </c>
    </row>
    <row r="2" spans="1:2">
      <c r="A2" s="19" t="s">
        <v>4925</v>
      </c>
    </row>
    <row r="3" spans="1:2">
      <c r="A3" s="19" t="s">
        <v>4926</v>
      </c>
    </row>
    <row r="4" spans="1:2">
      <c r="A4" s="19" t="s">
        <v>4927</v>
      </c>
    </row>
    <row r="5" spans="1:2">
      <c r="A5" s="19" t="s">
        <v>4928</v>
      </c>
    </row>
    <row r="6" spans="1:2">
      <c r="A6" s="19" t="s">
        <v>4929</v>
      </c>
    </row>
    <row r="7" spans="1:2">
      <c r="A7" s="19" t="s">
        <v>4930</v>
      </c>
    </row>
    <row r="8" spans="1:2">
      <c r="A8" s="19" t="s">
        <v>4931</v>
      </c>
    </row>
    <row r="9" spans="1:2">
      <c r="A9" s="19" t="s">
        <v>4932</v>
      </c>
    </row>
    <row r="10" spans="1:2">
      <c r="A10" s="19" t="s">
        <v>4933</v>
      </c>
    </row>
    <row r="11" spans="1:2">
      <c r="A11" s="19" t="s">
        <v>4934</v>
      </c>
    </row>
    <row r="12" spans="1:2">
      <c r="A12" s="19" t="s">
        <v>4935</v>
      </c>
    </row>
    <row r="13" spans="1:2">
      <c r="A13" s="19" t="s">
        <v>4936</v>
      </c>
    </row>
    <row r="14" spans="1:2">
      <c r="A14" s="19" t="s">
        <v>4937</v>
      </c>
    </row>
    <row r="15" spans="1:2">
      <c r="A15" s="19" t="s">
        <v>4938</v>
      </c>
    </row>
    <row r="16" spans="1:2">
      <c r="A16" s="19" t="s">
        <v>4939</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41"/>
  <sheetViews>
    <sheetView zoomScaleNormal="100" workbookViewId="0"/>
  </sheetViews>
  <sheetFormatPr defaultColWidth="11.5703125" defaultRowHeight="15"/>
  <cols>
    <col min="1" max="1" width="47.140625" customWidth="1"/>
    <col min="2" max="64" width="9.42578125" customWidth="1"/>
  </cols>
  <sheetData>
    <row r="1" spans="1:1">
      <c r="A1" s="19" t="s">
        <v>4940</v>
      </c>
    </row>
    <row r="2" spans="1:1">
      <c r="A2" s="19" t="s">
        <v>4941</v>
      </c>
    </row>
    <row r="3" spans="1:1">
      <c r="A3" s="19" t="s">
        <v>4942</v>
      </c>
    </row>
    <row r="4" spans="1:1">
      <c r="A4" s="73"/>
    </row>
    <row r="5" spans="1:1">
      <c r="A5" s="19" t="s">
        <v>4943</v>
      </c>
    </row>
    <row r="6" spans="1:1">
      <c r="A6" s="19" t="s">
        <v>4944</v>
      </c>
    </row>
    <row r="7" spans="1:1">
      <c r="A7" s="19" t="s">
        <v>4945</v>
      </c>
    </row>
    <row r="8" spans="1:1">
      <c r="A8" s="73"/>
    </row>
    <row r="9" spans="1:1">
      <c r="A9" s="19" t="s">
        <v>4946</v>
      </c>
    </row>
    <row r="10" spans="1:1">
      <c r="A10" s="19" t="s">
        <v>4947</v>
      </c>
    </row>
    <row r="11" spans="1:1">
      <c r="A11" s="19" t="s">
        <v>4948</v>
      </c>
    </row>
    <row r="12" spans="1:1">
      <c r="A12" s="73"/>
    </row>
    <row r="13" spans="1:1">
      <c r="A13" s="19" t="s">
        <v>4949</v>
      </c>
    </row>
    <row r="14" spans="1:1">
      <c r="A14" s="19" t="s">
        <v>4950</v>
      </c>
    </row>
    <row r="15" spans="1:1">
      <c r="A15" s="19" t="s">
        <v>4951</v>
      </c>
    </row>
    <row r="16" spans="1:1">
      <c r="A16" s="19" t="s">
        <v>4952</v>
      </c>
    </row>
    <row r="17" spans="1:1">
      <c r="A17" s="19" t="s">
        <v>4953</v>
      </c>
    </row>
    <row r="18" spans="1:1">
      <c r="A18" s="19" t="s">
        <v>4954</v>
      </c>
    </row>
    <row r="19" spans="1:1">
      <c r="A19" s="19" t="s">
        <v>4955</v>
      </c>
    </row>
    <row r="20" spans="1:1">
      <c r="A20" s="73"/>
    </row>
    <row r="21" spans="1:1">
      <c r="A21" s="19" t="s">
        <v>4956</v>
      </c>
    </row>
    <row r="22" spans="1:1">
      <c r="A22" s="19" t="s">
        <v>4957</v>
      </c>
    </row>
    <row r="23" spans="1:1">
      <c r="A23" s="19" t="s">
        <v>4958</v>
      </c>
    </row>
    <row r="24" spans="1:1">
      <c r="A24" s="19" t="s">
        <v>4959</v>
      </c>
    </row>
    <row r="25" spans="1:1">
      <c r="A25" s="19" t="s">
        <v>4960</v>
      </c>
    </row>
    <row r="26" spans="1:1">
      <c r="A26" s="19" t="s">
        <v>4961</v>
      </c>
    </row>
    <row r="27" spans="1:1">
      <c r="A27" s="19" t="s">
        <v>4962</v>
      </c>
    </row>
    <row r="28" spans="1:1">
      <c r="A28" s="73"/>
    </row>
    <row r="29" spans="1:1">
      <c r="A29" s="19" t="s">
        <v>4963</v>
      </c>
    </row>
    <row r="30" spans="1:1">
      <c r="A30" s="19" t="s">
        <v>4964</v>
      </c>
    </row>
    <row r="31" spans="1:1">
      <c r="A31" s="19" t="s">
        <v>4965</v>
      </c>
    </row>
    <row r="32" spans="1:1">
      <c r="A32" s="73"/>
    </row>
    <row r="33" spans="1:1">
      <c r="A33" s="19" t="s">
        <v>4966</v>
      </c>
    </row>
    <row r="34" spans="1:1">
      <c r="A34" s="19" t="s">
        <v>4967</v>
      </c>
    </row>
    <row r="35" spans="1:1">
      <c r="A35" s="19" t="s">
        <v>4968</v>
      </c>
    </row>
    <row r="36" spans="1:1">
      <c r="A36" s="19" t="s">
        <v>4969</v>
      </c>
    </row>
    <row r="37" spans="1:1">
      <c r="A37" s="19" t="s">
        <v>4970</v>
      </c>
    </row>
    <row r="38" spans="1:1">
      <c r="A38" s="73"/>
    </row>
    <row r="39" spans="1:1">
      <c r="A39" s="19" t="s">
        <v>4971</v>
      </c>
    </row>
    <row r="40" spans="1:1">
      <c r="A40" s="19" t="s">
        <v>4972</v>
      </c>
    </row>
    <row r="41" spans="1:1">
      <c r="A41" s="19" t="s">
        <v>4973</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P205"/>
  <sheetViews>
    <sheetView topLeftCell="A2" zoomScaleNormal="100" workbookViewId="0">
      <selection activeCell="F18" sqref="F18"/>
    </sheetView>
  </sheetViews>
  <sheetFormatPr defaultColWidth="11.5703125" defaultRowHeight="15"/>
  <cols>
    <col min="1" max="1" width="4.7109375" customWidth="1"/>
    <col min="2" max="2" width="11.7109375" style="4" customWidth="1"/>
    <col min="3" max="3" width="53.85546875" customWidth="1"/>
    <col min="4" max="8" width="11.7109375" customWidth="1"/>
    <col min="9" max="9" width="15.7109375" customWidth="1"/>
    <col min="10" max="10" width="13.42578125" customWidth="1"/>
    <col min="11" max="11" width="15.7109375" customWidth="1"/>
    <col min="12" max="12" width="17.42578125" customWidth="1"/>
    <col min="13" max="64" width="9.42578125" customWidth="1"/>
  </cols>
  <sheetData>
    <row r="1" spans="1:16" ht="204.2" customHeight="1">
      <c r="A1" s="75"/>
      <c r="C1" s="18" t="s">
        <v>4974</v>
      </c>
    </row>
    <row r="2" spans="1:16" ht="18.600000000000001" customHeight="1">
      <c r="A2" s="75"/>
      <c r="B2" s="4" t="s">
        <v>4975</v>
      </c>
      <c r="H2" t="s">
        <v>4976</v>
      </c>
      <c r="I2" t="s">
        <v>4977</v>
      </c>
      <c r="J2" t="s">
        <v>4978</v>
      </c>
      <c r="K2" t="s">
        <v>4979</v>
      </c>
      <c r="L2" t="s">
        <v>4980</v>
      </c>
      <c r="P2" s="18" t="s">
        <v>4981</v>
      </c>
    </row>
    <row r="3" spans="1:16">
      <c r="B3" s="4" t="s">
        <v>3478</v>
      </c>
      <c r="C3" t="s">
        <v>4982</v>
      </c>
      <c r="E3" t="str">
        <f>MID($C$1,3,2)</f>
        <v>04</v>
      </c>
      <c r="F3">
        <v>3</v>
      </c>
      <c r="H3">
        <v>4</v>
      </c>
      <c r="I3">
        <f t="shared" ref="I3:I34" si="0">H3*220</f>
        <v>880</v>
      </c>
      <c r="J3">
        <f t="shared" ref="J3:J34" si="1">H3*1000</f>
        <v>4000</v>
      </c>
      <c r="K3">
        <f t="shared" ref="K3:K34" si="2">H3*30</f>
        <v>120</v>
      </c>
      <c r="L3">
        <f t="shared" ref="L3:L34" si="3">H3*800</f>
        <v>3200</v>
      </c>
    </row>
    <row r="4" spans="1:16">
      <c r="B4" s="4" t="s">
        <v>3483</v>
      </c>
      <c r="C4" t="s">
        <v>4983</v>
      </c>
      <c r="E4" t="str">
        <f t="shared" ref="E4:E35" si="4">MID($C$1,(F4),2)</f>
        <v>FE</v>
      </c>
      <c r="F4">
        <f t="shared" ref="F4:F67" si="5">F3+6</f>
        <v>9</v>
      </c>
      <c r="H4">
        <v>-2</v>
      </c>
      <c r="I4">
        <f t="shared" si="0"/>
        <v>-440</v>
      </c>
      <c r="J4">
        <f t="shared" si="1"/>
        <v>-2000</v>
      </c>
      <c r="K4">
        <f t="shared" si="2"/>
        <v>-60</v>
      </c>
      <c r="L4">
        <f t="shared" si="3"/>
        <v>-1600</v>
      </c>
    </row>
    <row r="5" spans="1:16">
      <c r="B5" s="4" t="s">
        <v>3508</v>
      </c>
      <c r="C5" s="76" t="s">
        <v>4984</v>
      </c>
      <c r="E5" t="str">
        <f t="shared" si="4"/>
        <v>00</v>
      </c>
      <c r="F5">
        <f t="shared" si="5"/>
        <v>15</v>
      </c>
      <c r="H5">
        <v>0</v>
      </c>
      <c r="I5">
        <f t="shared" si="0"/>
        <v>0</v>
      </c>
      <c r="J5">
        <f t="shared" si="1"/>
        <v>0</v>
      </c>
      <c r="K5">
        <f t="shared" si="2"/>
        <v>0</v>
      </c>
      <c r="L5">
        <f t="shared" si="3"/>
        <v>0</v>
      </c>
    </row>
    <row r="6" spans="1:16">
      <c r="B6" s="4" t="s">
        <v>4099</v>
      </c>
      <c r="C6" s="76" t="s">
        <v>4985</v>
      </c>
      <c r="E6" t="str">
        <f t="shared" si="4"/>
        <v>00</v>
      </c>
      <c r="F6">
        <f t="shared" si="5"/>
        <v>21</v>
      </c>
      <c r="H6">
        <v>0</v>
      </c>
      <c r="I6">
        <f t="shared" si="0"/>
        <v>0</v>
      </c>
      <c r="J6">
        <f t="shared" si="1"/>
        <v>0</v>
      </c>
      <c r="K6">
        <f t="shared" si="2"/>
        <v>0</v>
      </c>
      <c r="L6">
        <f t="shared" si="3"/>
        <v>0</v>
      </c>
    </row>
    <row r="7" spans="1:16">
      <c r="B7" s="4" t="s">
        <v>3511</v>
      </c>
      <c r="C7" s="76" t="s">
        <v>4986</v>
      </c>
      <c r="E7" t="str">
        <f t="shared" si="4"/>
        <v>00</v>
      </c>
      <c r="F7">
        <f t="shared" si="5"/>
        <v>27</v>
      </c>
      <c r="H7">
        <v>0</v>
      </c>
      <c r="I7">
        <f t="shared" si="0"/>
        <v>0</v>
      </c>
      <c r="J7">
        <f t="shared" si="1"/>
        <v>0</v>
      </c>
      <c r="K7">
        <f t="shared" si="2"/>
        <v>0</v>
      </c>
      <c r="L7">
        <f t="shared" si="3"/>
        <v>0</v>
      </c>
    </row>
    <row r="8" spans="1:16">
      <c r="B8" s="4" t="s">
        <v>4102</v>
      </c>
      <c r="C8" t="s">
        <v>4987</v>
      </c>
      <c r="E8" t="str">
        <f t="shared" si="4"/>
        <v>FF</v>
      </c>
      <c r="F8">
        <f t="shared" si="5"/>
        <v>33</v>
      </c>
      <c r="H8">
        <v>-1</v>
      </c>
      <c r="I8">
        <f t="shared" si="0"/>
        <v>-220</v>
      </c>
      <c r="J8">
        <f t="shared" si="1"/>
        <v>-1000</v>
      </c>
      <c r="K8">
        <f t="shared" si="2"/>
        <v>-30</v>
      </c>
      <c r="L8">
        <f t="shared" si="3"/>
        <v>-800</v>
      </c>
    </row>
    <row r="9" spans="1:16">
      <c r="B9" s="4" t="s">
        <v>4104</v>
      </c>
      <c r="C9" t="s">
        <v>4988</v>
      </c>
      <c r="E9" t="str">
        <f t="shared" si="4"/>
        <v>FF</v>
      </c>
      <c r="F9">
        <f t="shared" si="5"/>
        <v>39</v>
      </c>
      <c r="H9">
        <v>-1</v>
      </c>
      <c r="I9">
        <f t="shared" si="0"/>
        <v>-220</v>
      </c>
      <c r="J9">
        <f t="shared" si="1"/>
        <v>-1000</v>
      </c>
      <c r="K9">
        <f t="shared" si="2"/>
        <v>-30</v>
      </c>
      <c r="L9">
        <f t="shared" si="3"/>
        <v>-800</v>
      </c>
    </row>
    <row r="10" spans="1:16">
      <c r="B10" s="4" t="s">
        <v>3950</v>
      </c>
      <c r="C10" t="s">
        <v>4989</v>
      </c>
      <c r="E10" t="str">
        <f t="shared" si="4"/>
        <v>FD</v>
      </c>
      <c r="F10">
        <f t="shared" si="5"/>
        <v>45</v>
      </c>
      <c r="H10">
        <v>-3</v>
      </c>
      <c r="I10">
        <f t="shared" si="0"/>
        <v>-660</v>
      </c>
      <c r="J10">
        <f t="shared" si="1"/>
        <v>-3000</v>
      </c>
      <c r="K10">
        <f t="shared" si="2"/>
        <v>-90</v>
      </c>
      <c r="L10">
        <f t="shared" si="3"/>
        <v>-2400</v>
      </c>
    </row>
    <row r="11" spans="1:16">
      <c r="B11" s="4" t="s">
        <v>3502</v>
      </c>
      <c r="C11" t="s">
        <v>4990</v>
      </c>
      <c r="E11" t="str">
        <f t="shared" si="4"/>
        <v>04</v>
      </c>
      <c r="F11">
        <f t="shared" si="5"/>
        <v>51</v>
      </c>
      <c r="H11">
        <v>4</v>
      </c>
      <c r="I11">
        <f t="shared" si="0"/>
        <v>880</v>
      </c>
      <c r="J11">
        <f t="shared" si="1"/>
        <v>4000</v>
      </c>
      <c r="K11">
        <f t="shared" si="2"/>
        <v>120</v>
      </c>
      <c r="L11">
        <f t="shared" si="3"/>
        <v>3200</v>
      </c>
    </row>
    <row r="12" spans="1:16">
      <c r="B12" s="4" t="s">
        <v>3505</v>
      </c>
      <c r="C12" t="s">
        <v>4991</v>
      </c>
      <c r="E12" t="str">
        <f t="shared" si="4"/>
        <v>FE</v>
      </c>
      <c r="F12">
        <f t="shared" si="5"/>
        <v>57</v>
      </c>
      <c r="H12">
        <v>-2</v>
      </c>
      <c r="I12">
        <f t="shared" si="0"/>
        <v>-440</v>
      </c>
      <c r="J12">
        <f t="shared" si="1"/>
        <v>-2000</v>
      </c>
      <c r="K12">
        <f t="shared" si="2"/>
        <v>-60</v>
      </c>
      <c r="L12">
        <f t="shared" si="3"/>
        <v>-1600</v>
      </c>
    </row>
    <row r="13" spans="1:16">
      <c r="B13" s="4" t="s">
        <v>1952</v>
      </c>
      <c r="C13" t="s">
        <v>4992</v>
      </c>
      <c r="E13" t="str">
        <f t="shared" si="4"/>
        <v>01</v>
      </c>
      <c r="F13">
        <f t="shared" si="5"/>
        <v>63</v>
      </c>
      <c r="H13">
        <v>1</v>
      </c>
      <c r="I13">
        <f t="shared" si="0"/>
        <v>220</v>
      </c>
      <c r="J13">
        <f t="shared" si="1"/>
        <v>1000</v>
      </c>
      <c r="K13">
        <f t="shared" si="2"/>
        <v>30</v>
      </c>
      <c r="L13">
        <f t="shared" si="3"/>
        <v>800</v>
      </c>
    </row>
    <row r="14" spans="1:16">
      <c r="B14" s="4" t="s">
        <v>4110</v>
      </c>
      <c r="C14" t="s">
        <v>4993</v>
      </c>
      <c r="E14" t="str">
        <f t="shared" si="4"/>
        <v>FF</v>
      </c>
      <c r="F14">
        <f t="shared" si="5"/>
        <v>69</v>
      </c>
      <c r="H14">
        <v>-1</v>
      </c>
      <c r="I14">
        <f t="shared" si="0"/>
        <v>-220</v>
      </c>
      <c r="J14">
        <f t="shared" si="1"/>
        <v>-1000</v>
      </c>
      <c r="K14">
        <f t="shared" si="2"/>
        <v>-30</v>
      </c>
      <c r="L14">
        <f t="shared" si="3"/>
        <v>-800</v>
      </c>
    </row>
    <row r="15" spans="1:16">
      <c r="B15" s="4" t="s">
        <v>4994</v>
      </c>
      <c r="C15" s="54" t="s">
        <v>4995</v>
      </c>
      <c r="E15" t="str">
        <f t="shared" si="4"/>
        <v>FE</v>
      </c>
      <c r="F15">
        <f t="shared" si="5"/>
        <v>75</v>
      </c>
      <c r="H15">
        <v>-2</v>
      </c>
      <c r="I15">
        <f t="shared" si="0"/>
        <v>-440</v>
      </c>
      <c r="J15">
        <f t="shared" si="1"/>
        <v>-2000</v>
      </c>
      <c r="K15">
        <f t="shared" si="2"/>
        <v>-60</v>
      </c>
      <c r="L15">
        <f t="shared" si="3"/>
        <v>-1600</v>
      </c>
    </row>
    <row r="16" spans="1:16">
      <c r="B16" s="4" t="s">
        <v>4113</v>
      </c>
      <c r="C16" s="54" t="s">
        <v>4996</v>
      </c>
      <c r="E16" t="str">
        <f t="shared" si="4"/>
        <v>FF</v>
      </c>
      <c r="F16">
        <f t="shared" si="5"/>
        <v>81</v>
      </c>
      <c r="H16">
        <v>-1</v>
      </c>
      <c r="I16">
        <f t="shared" si="0"/>
        <v>-220</v>
      </c>
      <c r="J16">
        <f t="shared" si="1"/>
        <v>-1000</v>
      </c>
      <c r="K16">
        <f t="shared" si="2"/>
        <v>-30</v>
      </c>
      <c r="L16">
        <f t="shared" si="3"/>
        <v>-800</v>
      </c>
    </row>
    <row r="17" spans="2:12">
      <c r="B17" s="4" t="s">
        <v>4997</v>
      </c>
      <c r="C17" s="54" t="s">
        <v>4998</v>
      </c>
      <c r="E17" t="str">
        <f t="shared" si="4"/>
        <v>FE</v>
      </c>
      <c r="F17">
        <f t="shared" si="5"/>
        <v>87</v>
      </c>
      <c r="H17">
        <v>-2</v>
      </c>
      <c r="I17">
        <f t="shared" si="0"/>
        <v>-440</v>
      </c>
      <c r="J17">
        <f t="shared" si="1"/>
        <v>-2000</v>
      </c>
      <c r="K17">
        <f t="shared" si="2"/>
        <v>-60</v>
      </c>
      <c r="L17">
        <f t="shared" si="3"/>
        <v>-1600</v>
      </c>
    </row>
    <row r="18" spans="2:12">
      <c r="B18" s="4" t="s">
        <v>1956</v>
      </c>
      <c r="C18" s="54" t="s">
        <v>4999</v>
      </c>
      <c r="E18" t="str">
        <f t="shared" si="4"/>
        <v>FF</v>
      </c>
      <c r="F18">
        <f t="shared" si="5"/>
        <v>93</v>
      </c>
      <c r="H18">
        <v>-1</v>
      </c>
      <c r="I18">
        <f t="shared" si="0"/>
        <v>-220</v>
      </c>
      <c r="J18">
        <f t="shared" si="1"/>
        <v>-1000</v>
      </c>
      <c r="K18">
        <f t="shared" si="2"/>
        <v>-30</v>
      </c>
      <c r="L18">
        <f t="shared" si="3"/>
        <v>-800</v>
      </c>
    </row>
    <row r="19" spans="2:12">
      <c r="B19" s="4" t="s">
        <v>3493</v>
      </c>
      <c r="C19" s="54" t="s">
        <v>5000</v>
      </c>
      <c r="E19" t="str">
        <f t="shared" si="4"/>
        <v>FF</v>
      </c>
      <c r="F19">
        <f t="shared" si="5"/>
        <v>99</v>
      </c>
      <c r="H19">
        <v>-1</v>
      </c>
      <c r="I19">
        <f t="shared" si="0"/>
        <v>-220</v>
      </c>
      <c r="J19">
        <f t="shared" si="1"/>
        <v>-1000</v>
      </c>
      <c r="K19">
        <f t="shared" si="2"/>
        <v>-30</v>
      </c>
      <c r="L19">
        <f t="shared" si="3"/>
        <v>-800</v>
      </c>
    </row>
    <row r="20" spans="2:12">
      <c r="B20" s="4" t="s">
        <v>5001</v>
      </c>
      <c r="C20" s="54" t="s">
        <v>5002</v>
      </c>
      <c r="E20" t="str">
        <f t="shared" si="4"/>
        <v>FD</v>
      </c>
      <c r="F20">
        <f t="shared" si="5"/>
        <v>105</v>
      </c>
      <c r="H20">
        <v>-3</v>
      </c>
      <c r="I20">
        <f t="shared" si="0"/>
        <v>-660</v>
      </c>
      <c r="J20">
        <f t="shared" si="1"/>
        <v>-3000</v>
      </c>
      <c r="K20">
        <f t="shared" si="2"/>
        <v>-90</v>
      </c>
      <c r="L20">
        <f t="shared" si="3"/>
        <v>-2400</v>
      </c>
    </row>
    <row r="21" spans="2:12">
      <c r="B21" s="4" t="s">
        <v>3953</v>
      </c>
      <c r="C21" t="s">
        <v>5003</v>
      </c>
      <c r="E21" t="str">
        <f t="shared" si="4"/>
        <v>01</v>
      </c>
      <c r="F21">
        <f t="shared" si="5"/>
        <v>111</v>
      </c>
      <c r="H21">
        <v>1</v>
      </c>
      <c r="I21">
        <f t="shared" si="0"/>
        <v>220</v>
      </c>
      <c r="J21">
        <f t="shared" si="1"/>
        <v>1000</v>
      </c>
      <c r="K21">
        <f t="shared" si="2"/>
        <v>30</v>
      </c>
      <c r="L21">
        <f t="shared" si="3"/>
        <v>800</v>
      </c>
    </row>
    <row r="22" spans="2:12">
      <c r="B22" s="4" t="s">
        <v>5004</v>
      </c>
      <c r="C22" t="s">
        <v>5005</v>
      </c>
      <c r="E22" t="str">
        <f t="shared" si="4"/>
        <v>FF</v>
      </c>
      <c r="F22">
        <f t="shared" si="5"/>
        <v>117</v>
      </c>
      <c r="H22">
        <v>-1</v>
      </c>
      <c r="I22">
        <f t="shared" si="0"/>
        <v>-220</v>
      </c>
      <c r="J22">
        <f t="shared" si="1"/>
        <v>-1000</v>
      </c>
      <c r="K22">
        <f t="shared" si="2"/>
        <v>-30</v>
      </c>
      <c r="L22">
        <f t="shared" si="3"/>
        <v>-800</v>
      </c>
    </row>
    <row r="23" spans="2:12">
      <c r="B23" s="4" t="s">
        <v>5006</v>
      </c>
      <c r="C23" t="s">
        <v>5007</v>
      </c>
      <c r="E23" t="str">
        <f t="shared" si="4"/>
        <v>01</v>
      </c>
      <c r="F23">
        <f t="shared" si="5"/>
        <v>123</v>
      </c>
      <c r="H23">
        <v>1</v>
      </c>
      <c r="I23">
        <f t="shared" si="0"/>
        <v>220</v>
      </c>
      <c r="J23">
        <f t="shared" si="1"/>
        <v>1000</v>
      </c>
      <c r="K23">
        <f t="shared" si="2"/>
        <v>30</v>
      </c>
      <c r="L23">
        <f t="shared" si="3"/>
        <v>800</v>
      </c>
    </row>
    <row r="24" spans="2:12">
      <c r="B24" s="4" t="s">
        <v>5008</v>
      </c>
      <c r="C24" s="54" t="s">
        <v>5009</v>
      </c>
      <c r="E24" t="str">
        <f t="shared" si="4"/>
        <v>FF</v>
      </c>
      <c r="F24">
        <f t="shared" si="5"/>
        <v>129</v>
      </c>
      <c r="H24">
        <v>-1</v>
      </c>
      <c r="I24">
        <f t="shared" si="0"/>
        <v>-220</v>
      </c>
      <c r="J24">
        <f t="shared" si="1"/>
        <v>-1000</v>
      </c>
      <c r="K24">
        <f t="shared" si="2"/>
        <v>-30</v>
      </c>
      <c r="L24">
        <f t="shared" si="3"/>
        <v>-800</v>
      </c>
    </row>
    <row r="25" spans="2:12">
      <c r="B25" s="4" t="s">
        <v>5010</v>
      </c>
      <c r="C25" s="54" t="s">
        <v>4995</v>
      </c>
      <c r="E25" t="str">
        <f t="shared" si="4"/>
        <v>FE</v>
      </c>
      <c r="F25">
        <f t="shared" si="5"/>
        <v>135</v>
      </c>
      <c r="H25">
        <v>-2</v>
      </c>
      <c r="I25">
        <f t="shared" si="0"/>
        <v>-440</v>
      </c>
      <c r="J25">
        <f t="shared" si="1"/>
        <v>-2000</v>
      </c>
      <c r="K25">
        <f t="shared" si="2"/>
        <v>-60</v>
      </c>
      <c r="L25">
        <f t="shared" si="3"/>
        <v>-1600</v>
      </c>
    </row>
    <row r="26" spans="2:12">
      <c r="B26" s="4" t="s">
        <v>5011</v>
      </c>
      <c r="C26" s="54" t="s">
        <v>4996</v>
      </c>
      <c r="E26" t="str">
        <f t="shared" si="4"/>
        <v>FF</v>
      </c>
      <c r="F26">
        <f t="shared" si="5"/>
        <v>141</v>
      </c>
      <c r="H26">
        <v>-1</v>
      </c>
      <c r="I26">
        <f t="shared" si="0"/>
        <v>-220</v>
      </c>
      <c r="J26">
        <f t="shared" si="1"/>
        <v>-1000</v>
      </c>
      <c r="K26">
        <f t="shared" si="2"/>
        <v>-30</v>
      </c>
      <c r="L26">
        <f t="shared" si="3"/>
        <v>-800</v>
      </c>
    </row>
    <row r="27" spans="2:12">
      <c r="B27" s="4" t="s">
        <v>5012</v>
      </c>
      <c r="C27" s="54" t="s">
        <v>4998</v>
      </c>
      <c r="E27" t="str">
        <f t="shared" si="4"/>
        <v>FE</v>
      </c>
      <c r="F27">
        <f t="shared" si="5"/>
        <v>147</v>
      </c>
      <c r="H27">
        <v>-2</v>
      </c>
      <c r="I27">
        <f t="shared" si="0"/>
        <v>-440</v>
      </c>
      <c r="J27">
        <f t="shared" si="1"/>
        <v>-2000</v>
      </c>
      <c r="K27">
        <f t="shared" si="2"/>
        <v>-60</v>
      </c>
      <c r="L27">
        <f t="shared" si="3"/>
        <v>-1600</v>
      </c>
    </row>
    <row r="28" spans="2:12">
      <c r="B28" s="4" t="s">
        <v>5013</v>
      </c>
      <c r="C28" s="54" t="s">
        <v>4999</v>
      </c>
      <c r="E28" t="str">
        <f t="shared" si="4"/>
        <v>FF</v>
      </c>
      <c r="F28">
        <f t="shared" si="5"/>
        <v>153</v>
      </c>
      <c r="H28">
        <v>-1</v>
      </c>
      <c r="I28">
        <f t="shared" si="0"/>
        <v>-220</v>
      </c>
      <c r="J28">
        <f t="shared" si="1"/>
        <v>-1000</v>
      </c>
      <c r="K28">
        <f t="shared" si="2"/>
        <v>-30</v>
      </c>
      <c r="L28">
        <f t="shared" si="3"/>
        <v>-800</v>
      </c>
    </row>
    <row r="29" spans="2:12">
      <c r="B29" s="4" t="s">
        <v>5014</v>
      </c>
      <c r="C29" s="54" t="s">
        <v>5000</v>
      </c>
      <c r="E29" t="str">
        <f t="shared" si="4"/>
        <v>FF</v>
      </c>
      <c r="F29">
        <f t="shared" si="5"/>
        <v>159</v>
      </c>
      <c r="H29">
        <v>-1</v>
      </c>
      <c r="I29">
        <f t="shared" si="0"/>
        <v>-220</v>
      </c>
      <c r="J29">
        <f t="shared" si="1"/>
        <v>-1000</v>
      </c>
      <c r="K29">
        <f t="shared" si="2"/>
        <v>-30</v>
      </c>
      <c r="L29">
        <f t="shared" si="3"/>
        <v>-800</v>
      </c>
    </row>
    <row r="30" spans="2:12">
      <c r="B30" s="4" t="s">
        <v>5015</v>
      </c>
      <c r="C30" s="54" t="s">
        <v>5002</v>
      </c>
      <c r="E30" t="str">
        <f t="shared" si="4"/>
        <v>FD</v>
      </c>
      <c r="F30">
        <f t="shared" si="5"/>
        <v>165</v>
      </c>
      <c r="H30">
        <v>-3</v>
      </c>
      <c r="I30">
        <f t="shared" si="0"/>
        <v>-660</v>
      </c>
      <c r="J30">
        <f t="shared" si="1"/>
        <v>-3000</v>
      </c>
      <c r="K30">
        <f t="shared" si="2"/>
        <v>-90</v>
      </c>
      <c r="L30">
        <f t="shared" si="3"/>
        <v>-2400</v>
      </c>
    </row>
    <row r="31" spans="2:12">
      <c r="B31" s="4" t="s">
        <v>5016</v>
      </c>
      <c r="C31" t="s">
        <v>5017</v>
      </c>
      <c r="E31" t="str">
        <f t="shared" si="4"/>
        <v>01</v>
      </c>
      <c r="F31">
        <f t="shared" si="5"/>
        <v>171</v>
      </c>
      <c r="H31">
        <v>1</v>
      </c>
      <c r="I31">
        <f t="shared" si="0"/>
        <v>220</v>
      </c>
      <c r="J31">
        <f t="shared" si="1"/>
        <v>1000</v>
      </c>
      <c r="K31">
        <f t="shared" si="2"/>
        <v>30</v>
      </c>
      <c r="L31">
        <f t="shared" si="3"/>
        <v>800</v>
      </c>
    </row>
    <row r="32" spans="2:12">
      <c r="B32" s="4" t="s">
        <v>5018</v>
      </c>
      <c r="C32" t="s">
        <v>5019</v>
      </c>
      <c r="E32" t="str">
        <f t="shared" si="4"/>
        <v>FF</v>
      </c>
      <c r="F32">
        <f t="shared" si="5"/>
        <v>177</v>
      </c>
      <c r="H32">
        <v>-1</v>
      </c>
      <c r="I32">
        <f t="shared" si="0"/>
        <v>-220</v>
      </c>
      <c r="J32">
        <f t="shared" si="1"/>
        <v>-1000</v>
      </c>
      <c r="K32">
        <f t="shared" si="2"/>
        <v>-30</v>
      </c>
      <c r="L32">
        <f t="shared" si="3"/>
        <v>-800</v>
      </c>
    </row>
    <row r="33" spans="2:12">
      <c r="B33" s="4" t="s">
        <v>1966</v>
      </c>
      <c r="C33" t="s">
        <v>5020</v>
      </c>
      <c r="E33" t="str">
        <f t="shared" si="4"/>
        <v>01</v>
      </c>
      <c r="F33">
        <f t="shared" si="5"/>
        <v>183</v>
      </c>
      <c r="H33">
        <v>1</v>
      </c>
      <c r="I33">
        <f t="shared" si="0"/>
        <v>220</v>
      </c>
      <c r="J33">
        <f t="shared" si="1"/>
        <v>1000</v>
      </c>
      <c r="K33">
        <f t="shared" si="2"/>
        <v>30</v>
      </c>
      <c r="L33">
        <f t="shared" si="3"/>
        <v>800</v>
      </c>
    </row>
    <row r="34" spans="2:12">
      <c r="B34" s="4" t="s">
        <v>5021</v>
      </c>
      <c r="C34" t="s">
        <v>5022</v>
      </c>
      <c r="E34" t="str">
        <f t="shared" si="4"/>
        <v>FF</v>
      </c>
      <c r="F34">
        <f t="shared" si="5"/>
        <v>189</v>
      </c>
      <c r="H34">
        <v>-1</v>
      </c>
      <c r="I34">
        <f t="shared" si="0"/>
        <v>-220</v>
      </c>
      <c r="J34">
        <f t="shared" si="1"/>
        <v>-1000</v>
      </c>
      <c r="K34">
        <f t="shared" si="2"/>
        <v>-30</v>
      </c>
      <c r="L34">
        <f t="shared" si="3"/>
        <v>-800</v>
      </c>
    </row>
    <row r="35" spans="2:12">
      <c r="B35" s="4" t="s">
        <v>3551</v>
      </c>
      <c r="C35" s="54" t="s">
        <v>4995</v>
      </c>
      <c r="E35" t="str">
        <f t="shared" si="4"/>
        <v>FE</v>
      </c>
      <c r="F35">
        <f t="shared" si="5"/>
        <v>195</v>
      </c>
      <c r="H35">
        <v>-2</v>
      </c>
      <c r="I35">
        <f t="shared" ref="I35:I66" si="6">H35*220</f>
        <v>-440</v>
      </c>
      <c r="J35">
        <f t="shared" ref="J35:J66" si="7">H35*1000</f>
        <v>-2000</v>
      </c>
      <c r="K35">
        <f t="shared" ref="K35:K66" si="8">H35*30</f>
        <v>-60</v>
      </c>
      <c r="L35">
        <f t="shared" ref="L35:L66" si="9">H35*800</f>
        <v>-1600</v>
      </c>
    </row>
    <row r="36" spans="2:12">
      <c r="B36" s="4" t="s">
        <v>3496</v>
      </c>
      <c r="C36" s="54" t="s">
        <v>4996</v>
      </c>
      <c r="E36" t="str">
        <f t="shared" ref="E36:E67" si="10">MID($C$1,(F36),2)</f>
        <v>FF</v>
      </c>
      <c r="F36">
        <f t="shared" si="5"/>
        <v>201</v>
      </c>
      <c r="H36">
        <v>-1</v>
      </c>
      <c r="I36">
        <f t="shared" si="6"/>
        <v>-220</v>
      </c>
      <c r="J36">
        <f t="shared" si="7"/>
        <v>-1000</v>
      </c>
      <c r="K36">
        <f t="shared" si="8"/>
        <v>-30</v>
      </c>
      <c r="L36">
        <f t="shared" si="9"/>
        <v>-800</v>
      </c>
    </row>
    <row r="37" spans="2:12">
      <c r="B37" s="4" t="s">
        <v>5023</v>
      </c>
      <c r="C37" s="54" t="s">
        <v>4998</v>
      </c>
      <c r="E37" t="str">
        <f t="shared" si="10"/>
        <v>FE</v>
      </c>
      <c r="F37">
        <f t="shared" si="5"/>
        <v>207</v>
      </c>
      <c r="H37">
        <v>-2</v>
      </c>
      <c r="I37">
        <f t="shared" si="6"/>
        <v>-440</v>
      </c>
      <c r="J37">
        <f t="shared" si="7"/>
        <v>-2000</v>
      </c>
      <c r="K37">
        <f t="shared" si="8"/>
        <v>-60</v>
      </c>
      <c r="L37">
        <f t="shared" si="9"/>
        <v>-1600</v>
      </c>
    </row>
    <row r="38" spans="2:12">
      <c r="B38" s="4" t="s">
        <v>5024</v>
      </c>
      <c r="C38" s="54" t="s">
        <v>4999</v>
      </c>
      <c r="E38" t="str">
        <f t="shared" si="10"/>
        <v>FF</v>
      </c>
      <c r="F38">
        <f t="shared" si="5"/>
        <v>213</v>
      </c>
      <c r="H38">
        <v>-1</v>
      </c>
      <c r="I38">
        <f t="shared" si="6"/>
        <v>-220</v>
      </c>
      <c r="J38">
        <f t="shared" si="7"/>
        <v>-1000</v>
      </c>
      <c r="K38">
        <f t="shared" si="8"/>
        <v>-30</v>
      </c>
      <c r="L38">
        <f t="shared" si="9"/>
        <v>-800</v>
      </c>
    </row>
    <row r="39" spans="2:12">
      <c r="B39" s="4" t="s">
        <v>5025</v>
      </c>
      <c r="C39" s="54" t="s">
        <v>5000</v>
      </c>
      <c r="E39" t="str">
        <f t="shared" si="10"/>
        <v>FF</v>
      </c>
      <c r="F39">
        <f t="shared" si="5"/>
        <v>219</v>
      </c>
      <c r="H39">
        <v>-1</v>
      </c>
      <c r="I39">
        <f t="shared" si="6"/>
        <v>-220</v>
      </c>
      <c r="J39">
        <f t="shared" si="7"/>
        <v>-1000</v>
      </c>
      <c r="K39">
        <f t="shared" si="8"/>
        <v>-30</v>
      </c>
      <c r="L39">
        <f t="shared" si="9"/>
        <v>-800</v>
      </c>
    </row>
    <row r="40" spans="2:12">
      <c r="B40" s="4" t="s">
        <v>5026</v>
      </c>
      <c r="C40" s="54" t="s">
        <v>5002</v>
      </c>
      <c r="E40" t="str">
        <f t="shared" si="10"/>
        <v>FD</v>
      </c>
      <c r="F40">
        <f t="shared" si="5"/>
        <v>225</v>
      </c>
      <c r="H40">
        <v>-3</v>
      </c>
      <c r="I40">
        <f t="shared" si="6"/>
        <v>-660</v>
      </c>
      <c r="J40">
        <f t="shared" si="7"/>
        <v>-3000</v>
      </c>
      <c r="K40">
        <f t="shared" si="8"/>
        <v>-90</v>
      </c>
      <c r="L40">
        <f t="shared" si="9"/>
        <v>-2400</v>
      </c>
    </row>
    <row r="41" spans="2:12">
      <c r="B41" s="4" t="s">
        <v>5027</v>
      </c>
      <c r="C41" t="s">
        <v>5028</v>
      </c>
      <c r="E41" t="str">
        <f t="shared" si="10"/>
        <v>01</v>
      </c>
      <c r="F41">
        <f t="shared" si="5"/>
        <v>231</v>
      </c>
      <c r="H41">
        <v>1</v>
      </c>
      <c r="I41">
        <f t="shared" si="6"/>
        <v>220</v>
      </c>
      <c r="J41">
        <f t="shared" si="7"/>
        <v>1000</v>
      </c>
      <c r="K41">
        <f t="shared" si="8"/>
        <v>30</v>
      </c>
      <c r="L41">
        <f t="shared" si="9"/>
        <v>800</v>
      </c>
    </row>
    <row r="42" spans="2:12">
      <c r="B42" s="4" t="s">
        <v>5029</v>
      </c>
      <c r="C42" t="s">
        <v>5030</v>
      </c>
      <c r="E42" t="str">
        <f t="shared" si="10"/>
        <v>FF</v>
      </c>
      <c r="F42">
        <f t="shared" si="5"/>
        <v>237</v>
      </c>
      <c r="H42">
        <v>-1</v>
      </c>
      <c r="I42">
        <f t="shared" si="6"/>
        <v>-220</v>
      </c>
      <c r="J42">
        <f t="shared" si="7"/>
        <v>-1000</v>
      </c>
      <c r="K42">
        <f t="shared" si="8"/>
        <v>-30</v>
      </c>
      <c r="L42">
        <f t="shared" si="9"/>
        <v>-800</v>
      </c>
    </row>
    <row r="43" spans="2:12">
      <c r="B43" s="4" t="s">
        <v>5031</v>
      </c>
      <c r="C43" t="s">
        <v>5032</v>
      </c>
      <c r="E43" t="str">
        <f t="shared" si="10"/>
        <v>02</v>
      </c>
      <c r="F43">
        <f t="shared" si="5"/>
        <v>243</v>
      </c>
      <c r="H43">
        <v>2</v>
      </c>
      <c r="I43">
        <f t="shared" si="6"/>
        <v>440</v>
      </c>
      <c r="J43">
        <f t="shared" si="7"/>
        <v>2000</v>
      </c>
      <c r="K43">
        <f t="shared" si="8"/>
        <v>60</v>
      </c>
      <c r="L43">
        <f t="shared" si="9"/>
        <v>1600</v>
      </c>
    </row>
    <row r="44" spans="2:12">
      <c r="B44" s="4" t="s">
        <v>5033</v>
      </c>
      <c r="C44" t="s">
        <v>5034</v>
      </c>
      <c r="E44" t="str">
        <f t="shared" si="10"/>
        <v>01</v>
      </c>
      <c r="F44">
        <f t="shared" si="5"/>
        <v>249</v>
      </c>
      <c r="H44">
        <v>1</v>
      </c>
      <c r="I44">
        <f t="shared" si="6"/>
        <v>220</v>
      </c>
      <c r="J44">
        <f t="shared" si="7"/>
        <v>1000</v>
      </c>
      <c r="K44">
        <f t="shared" si="8"/>
        <v>30</v>
      </c>
      <c r="L44">
        <f t="shared" si="9"/>
        <v>800</v>
      </c>
    </row>
    <row r="45" spans="2:12">
      <c r="B45" s="4" t="s">
        <v>5035</v>
      </c>
      <c r="C45" t="s">
        <v>5036</v>
      </c>
      <c r="E45" t="str">
        <f t="shared" si="10"/>
        <v>FF</v>
      </c>
      <c r="F45">
        <f t="shared" si="5"/>
        <v>255</v>
      </c>
      <c r="H45">
        <v>-1</v>
      </c>
      <c r="I45">
        <f t="shared" si="6"/>
        <v>-220</v>
      </c>
      <c r="J45">
        <f t="shared" si="7"/>
        <v>-1000</v>
      </c>
      <c r="K45">
        <f t="shared" si="8"/>
        <v>-30</v>
      </c>
      <c r="L45">
        <f t="shared" si="9"/>
        <v>-800</v>
      </c>
    </row>
    <row r="46" spans="2:12">
      <c r="B46" s="4" t="s">
        <v>5037</v>
      </c>
      <c r="C46" s="54" t="s">
        <v>4996</v>
      </c>
      <c r="E46" t="str">
        <f t="shared" si="10"/>
        <v>01</v>
      </c>
      <c r="F46">
        <f t="shared" si="5"/>
        <v>261</v>
      </c>
      <c r="H46">
        <v>1</v>
      </c>
      <c r="I46">
        <f t="shared" si="6"/>
        <v>220</v>
      </c>
      <c r="J46">
        <f t="shared" si="7"/>
        <v>1000</v>
      </c>
      <c r="K46">
        <f t="shared" si="8"/>
        <v>30</v>
      </c>
      <c r="L46">
        <f t="shared" si="9"/>
        <v>800</v>
      </c>
    </row>
    <row r="47" spans="2:12">
      <c r="B47" s="4" t="s">
        <v>5038</v>
      </c>
      <c r="C47" s="54" t="s">
        <v>4998</v>
      </c>
      <c r="E47" t="str">
        <f t="shared" si="10"/>
        <v>FF</v>
      </c>
      <c r="F47">
        <f t="shared" si="5"/>
        <v>267</v>
      </c>
      <c r="H47">
        <v>-1</v>
      </c>
      <c r="I47">
        <f t="shared" si="6"/>
        <v>-220</v>
      </c>
      <c r="J47">
        <f t="shared" si="7"/>
        <v>-1000</v>
      </c>
      <c r="K47">
        <f t="shared" si="8"/>
        <v>-30</v>
      </c>
      <c r="L47">
        <f t="shared" si="9"/>
        <v>-800</v>
      </c>
    </row>
    <row r="48" spans="2:12">
      <c r="B48" s="4" t="s">
        <v>1976</v>
      </c>
      <c r="C48" s="17" t="s">
        <v>5039</v>
      </c>
      <c r="E48" t="str">
        <f t="shared" si="10"/>
        <v>FE</v>
      </c>
      <c r="F48">
        <f t="shared" si="5"/>
        <v>273</v>
      </c>
      <c r="H48">
        <v>-2</v>
      </c>
      <c r="I48">
        <f t="shared" si="6"/>
        <v>-440</v>
      </c>
      <c r="J48">
        <f t="shared" si="7"/>
        <v>-2000</v>
      </c>
      <c r="K48">
        <f t="shared" si="8"/>
        <v>-60</v>
      </c>
      <c r="L48">
        <f t="shared" si="9"/>
        <v>-1600</v>
      </c>
    </row>
    <row r="49" spans="2:12">
      <c r="B49" s="4" t="s">
        <v>5040</v>
      </c>
      <c r="C49" s="17" t="s">
        <v>5041</v>
      </c>
      <c r="E49" t="str">
        <f t="shared" si="10"/>
        <v>FE</v>
      </c>
      <c r="F49">
        <f t="shared" si="5"/>
        <v>279</v>
      </c>
      <c r="H49">
        <v>-2</v>
      </c>
      <c r="I49">
        <f t="shared" si="6"/>
        <v>-440</v>
      </c>
      <c r="J49">
        <f t="shared" si="7"/>
        <v>-2000</v>
      </c>
      <c r="K49">
        <f t="shared" si="8"/>
        <v>-60</v>
      </c>
      <c r="L49">
        <f t="shared" si="9"/>
        <v>-1600</v>
      </c>
    </row>
    <row r="50" spans="2:12">
      <c r="B50" s="4" t="s">
        <v>5042</v>
      </c>
      <c r="C50" s="17" t="s">
        <v>5043</v>
      </c>
      <c r="E50" t="str">
        <f t="shared" si="10"/>
        <v>00</v>
      </c>
      <c r="F50">
        <f t="shared" si="5"/>
        <v>285</v>
      </c>
      <c r="H50">
        <v>0</v>
      </c>
      <c r="I50">
        <f t="shared" si="6"/>
        <v>0</v>
      </c>
      <c r="J50">
        <f t="shared" si="7"/>
        <v>0</v>
      </c>
      <c r="K50">
        <f t="shared" si="8"/>
        <v>0</v>
      </c>
      <c r="L50">
        <f t="shared" si="9"/>
        <v>0</v>
      </c>
    </row>
    <row r="51" spans="2:12">
      <c r="B51" s="4" t="s">
        <v>3553</v>
      </c>
      <c r="C51" t="s">
        <v>5044</v>
      </c>
      <c r="E51" t="str">
        <f t="shared" si="10"/>
        <v>02</v>
      </c>
      <c r="F51">
        <f t="shared" si="5"/>
        <v>291</v>
      </c>
      <c r="H51">
        <v>2</v>
      </c>
      <c r="I51">
        <f t="shared" si="6"/>
        <v>440</v>
      </c>
      <c r="J51">
        <f t="shared" si="7"/>
        <v>2000</v>
      </c>
      <c r="K51">
        <f t="shared" si="8"/>
        <v>60</v>
      </c>
      <c r="L51">
        <f t="shared" si="9"/>
        <v>1600</v>
      </c>
    </row>
    <row r="52" spans="2:12">
      <c r="B52" s="4" t="s">
        <v>3499</v>
      </c>
      <c r="C52" t="s">
        <v>5045</v>
      </c>
      <c r="E52" t="str">
        <f t="shared" si="10"/>
        <v>01</v>
      </c>
      <c r="F52">
        <f t="shared" si="5"/>
        <v>297</v>
      </c>
      <c r="H52">
        <v>1</v>
      </c>
      <c r="I52">
        <f t="shared" si="6"/>
        <v>220</v>
      </c>
      <c r="J52">
        <f t="shared" si="7"/>
        <v>1000</v>
      </c>
      <c r="K52">
        <f t="shared" si="8"/>
        <v>30</v>
      </c>
      <c r="L52">
        <f t="shared" si="9"/>
        <v>800</v>
      </c>
    </row>
    <row r="53" spans="2:12">
      <c r="B53" s="4" t="s">
        <v>3404</v>
      </c>
      <c r="C53" t="s">
        <v>5046</v>
      </c>
      <c r="E53" t="str">
        <f t="shared" si="10"/>
        <v>02</v>
      </c>
      <c r="F53">
        <f t="shared" si="5"/>
        <v>303</v>
      </c>
      <c r="H53">
        <v>2</v>
      </c>
      <c r="I53">
        <f t="shared" si="6"/>
        <v>440</v>
      </c>
      <c r="J53">
        <f t="shared" si="7"/>
        <v>2000</v>
      </c>
      <c r="K53">
        <f t="shared" si="8"/>
        <v>60</v>
      </c>
      <c r="L53">
        <f t="shared" si="9"/>
        <v>1600</v>
      </c>
    </row>
    <row r="54" spans="2:12">
      <c r="B54" s="4" t="s">
        <v>5047</v>
      </c>
      <c r="C54" t="s">
        <v>5048</v>
      </c>
      <c r="E54" t="str">
        <f t="shared" si="10"/>
        <v>01</v>
      </c>
      <c r="F54">
        <f t="shared" si="5"/>
        <v>309</v>
      </c>
      <c r="H54">
        <v>1</v>
      </c>
      <c r="I54">
        <f t="shared" si="6"/>
        <v>220</v>
      </c>
      <c r="J54">
        <f t="shared" si="7"/>
        <v>1000</v>
      </c>
      <c r="K54">
        <f t="shared" si="8"/>
        <v>30</v>
      </c>
      <c r="L54">
        <f t="shared" si="9"/>
        <v>800</v>
      </c>
    </row>
    <row r="55" spans="2:12">
      <c r="B55" s="4" t="s">
        <v>5049</v>
      </c>
      <c r="C55" s="54" t="s">
        <v>5050</v>
      </c>
      <c r="E55" t="str">
        <f t="shared" si="10"/>
        <v>FF</v>
      </c>
      <c r="F55">
        <f t="shared" si="5"/>
        <v>315</v>
      </c>
      <c r="H55">
        <v>-1</v>
      </c>
      <c r="I55">
        <f t="shared" si="6"/>
        <v>-220</v>
      </c>
      <c r="J55">
        <f t="shared" si="7"/>
        <v>-1000</v>
      </c>
      <c r="K55">
        <f t="shared" si="8"/>
        <v>-30</v>
      </c>
      <c r="L55">
        <f t="shared" si="9"/>
        <v>-800</v>
      </c>
    </row>
    <row r="56" spans="2:12">
      <c r="B56" s="4" t="s">
        <v>5051</v>
      </c>
      <c r="C56" s="54" t="s">
        <v>4996</v>
      </c>
      <c r="E56" t="str">
        <f t="shared" si="10"/>
        <v>01</v>
      </c>
      <c r="F56">
        <f t="shared" si="5"/>
        <v>321</v>
      </c>
      <c r="H56">
        <v>1</v>
      </c>
      <c r="I56">
        <f t="shared" si="6"/>
        <v>220</v>
      </c>
      <c r="J56">
        <f t="shared" si="7"/>
        <v>1000</v>
      </c>
      <c r="K56">
        <f t="shared" si="8"/>
        <v>30</v>
      </c>
      <c r="L56">
        <f t="shared" si="9"/>
        <v>800</v>
      </c>
    </row>
    <row r="57" spans="2:12">
      <c r="B57" s="4" t="s">
        <v>5052</v>
      </c>
      <c r="C57" s="54" t="s">
        <v>4998</v>
      </c>
      <c r="E57" t="str">
        <f t="shared" si="10"/>
        <v>FF</v>
      </c>
      <c r="F57">
        <f t="shared" si="5"/>
        <v>327</v>
      </c>
      <c r="H57">
        <v>-1</v>
      </c>
      <c r="I57">
        <f t="shared" si="6"/>
        <v>-220</v>
      </c>
      <c r="J57">
        <f t="shared" si="7"/>
        <v>-1000</v>
      </c>
      <c r="K57">
        <f t="shared" si="8"/>
        <v>-30</v>
      </c>
      <c r="L57">
        <f t="shared" si="9"/>
        <v>-800</v>
      </c>
    </row>
    <row r="58" spans="2:12">
      <c r="B58" s="4" t="s">
        <v>5053</v>
      </c>
      <c r="C58" t="s">
        <v>5054</v>
      </c>
      <c r="E58" t="str">
        <f t="shared" si="10"/>
        <v>00</v>
      </c>
      <c r="F58">
        <f t="shared" si="5"/>
        <v>333</v>
      </c>
      <c r="H58">
        <v>0</v>
      </c>
      <c r="I58">
        <f t="shared" si="6"/>
        <v>0</v>
      </c>
      <c r="J58">
        <f t="shared" si="7"/>
        <v>0</v>
      </c>
      <c r="K58">
        <f t="shared" si="8"/>
        <v>0</v>
      </c>
      <c r="L58">
        <f t="shared" si="9"/>
        <v>0</v>
      </c>
    </row>
    <row r="59" spans="2:12">
      <c r="B59" s="4" t="s">
        <v>5055</v>
      </c>
      <c r="C59" t="s">
        <v>5056</v>
      </c>
      <c r="E59" t="str">
        <f t="shared" si="10"/>
        <v>00</v>
      </c>
      <c r="F59">
        <f t="shared" si="5"/>
        <v>339</v>
      </c>
      <c r="H59">
        <v>0</v>
      </c>
      <c r="I59">
        <f t="shared" si="6"/>
        <v>0</v>
      </c>
      <c r="J59">
        <f t="shared" si="7"/>
        <v>0</v>
      </c>
      <c r="K59">
        <f t="shared" si="8"/>
        <v>0</v>
      </c>
      <c r="L59">
        <f t="shared" si="9"/>
        <v>0</v>
      </c>
    </row>
    <row r="60" spans="2:12">
      <c r="B60" s="4" t="s">
        <v>5057</v>
      </c>
      <c r="C60" s="54" t="s">
        <v>5058</v>
      </c>
      <c r="E60" t="str">
        <f t="shared" si="10"/>
        <v>00</v>
      </c>
      <c r="F60">
        <f t="shared" si="5"/>
        <v>345</v>
      </c>
      <c r="H60">
        <v>0</v>
      </c>
      <c r="I60">
        <f t="shared" si="6"/>
        <v>0</v>
      </c>
      <c r="J60">
        <f t="shared" si="7"/>
        <v>0</v>
      </c>
      <c r="K60">
        <f t="shared" si="8"/>
        <v>0</v>
      </c>
      <c r="L60">
        <f t="shared" si="9"/>
        <v>0</v>
      </c>
    </row>
    <row r="61" spans="2:12">
      <c r="B61" s="4" t="s">
        <v>5059</v>
      </c>
      <c r="C61" t="s">
        <v>5060</v>
      </c>
      <c r="E61" t="str">
        <f t="shared" si="10"/>
        <v>02</v>
      </c>
      <c r="F61">
        <f t="shared" si="5"/>
        <v>351</v>
      </c>
      <c r="H61">
        <v>2</v>
      </c>
      <c r="I61">
        <f t="shared" si="6"/>
        <v>440</v>
      </c>
      <c r="J61">
        <f t="shared" si="7"/>
        <v>2000</v>
      </c>
      <c r="K61">
        <f t="shared" si="8"/>
        <v>60</v>
      </c>
      <c r="L61">
        <f t="shared" si="9"/>
        <v>1600</v>
      </c>
    </row>
    <row r="62" spans="2:12">
      <c r="B62" s="4" t="s">
        <v>5061</v>
      </c>
      <c r="C62" t="s">
        <v>5062</v>
      </c>
      <c r="E62" t="str">
        <f t="shared" si="10"/>
        <v>01</v>
      </c>
      <c r="F62">
        <f t="shared" si="5"/>
        <v>357</v>
      </c>
      <c r="H62">
        <v>1</v>
      </c>
      <c r="I62">
        <f t="shared" si="6"/>
        <v>220</v>
      </c>
      <c r="J62">
        <f t="shared" si="7"/>
        <v>1000</v>
      </c>
      <c r="K62">
        <f t="shared" si="8"/>
        <v>30</v>
      </c>
      <c r="L62">
        <f t="shared" si="9"/>
        <v>800</v>
      </c>
    </row>
    <row r="63" spans="2:12">
      <c r="B63" s="4" t="s">
        <v>1986</v>
      </c>
      <c r="C63" t="s">
        <v>5063</v>
      </c>
      <c r="E63" t="str">
        <f t="shared" si="10"/>
        <v>02</v>
      </c>
      <c r="F63">
        <f t="shared" si="5"/>
        <v>363</v>
      </c>
      <c r="H63">
        <v>2</v>
      </c>
      <c r="I63">
        <f t="shared" si="6"/>
        <v>440</v>
      </c>
      <c r="J63">
        <f t="shared" si="7"/>
        <v>2000</v>
      </c>
      <c r="K63">
        <f t="shared" si="8"/>
        <v>60</v>
      </c>
      <c r="L63">
        <f t="shared" si="9"/>
        <v>1600</v>
      </c>
    </row>
    <row r="64" spans="2:12">
      <c r="B64" s="4" t="s">
        <v>5064</v>
      </c>
      <c r="C64" t="s">
        <v>5065</v>
      </c>
      <c r="E64" t="str">
        <f t="shared" si="10"/>
        <v>01</v>
      </c>
      <c r="F64">
        <f t="shared" si="5"/>
        <v>369</v>
      </c>
      <c r="H64">
        <v>1</v>
      </c>
      <c r="I64">
        <f t="shared" si="6"/>
        <v>220</v>
      </c>
      <c r="J64">
        <f t="shared" si="7"/>
        <v>1000</v>
      </c>
      <c r="K64">
        <f t="shared" si="8"/>
        <v>30</v>
      </c>
      <c r="L64">
        <f t="shared" si="9"/>
        <v>800</v>
      </c>
    </row>
    <row r="65" spans="2:12">
      <c r="B65" s="4" t="s">
        <v>5066</v>
      </c>
      <c r="C65" s="54" t="s">
        <v>5050</v>
      </c>
      <c r="E65" t="str">
        <f t="shared" si="10"/>
        <v>FF</v>
      </c>
      <c r="F65">
        <f t="shared" si="5"/>
        <v>375</v>
      </c>
      <c r="H65">
        <v>-1</v>
      </c>
      <c r="I65">
        <f t="shared" si="6"/>
        <v>-220</v>
      </c>
      <c r="J65">
        <f t="shared" si="7"/>
        <v>-1000</v>
      </c>
      <c r="K65">
        <f t="shared" si="8"/>
        <v>-30</v>
      </c>
      <c r="L65">
        <f t="shared" si="9"/>
        <v>-800</v>
      </c>
    </row>
    <row r="66" spans="2:12">
      <c r="B66" s="4" t="s">
        <v>5067</v>
      </c>
      <c r="C66" s="54" t="s">
        <v>4996</v>
      </c>
      <c r="E66" t="str">
        <f t="shared" si="10"/>
        <v>01</v>
      </c>
      <c r="F66">
        <f t="shared" si="5"/>
        <v>381</v>
      </c>
      <c r="H66">
        <v>1</v>
      </c>
      <c r="I66">
        <f t="shared" si="6"/>
        <v>220</v>
      </c>
      <c r="J66">
        <f t="shared" si="7"/>
        <v>1000</v>
      </c>
      <c r="K66">
        <f t="shared" si="8"/>
        <v>30</v>
      </c>
      <c r="L66">
        <f t="shared" si="9"/>
        <v>800</v>
      </c>
    </row>
    <row r="67" spans="2:12">
      <c r="B67" s="4" t="s">
        <v>5068</v>
      </c>
      <c r="C67" s="54" t="s">
        <v>4998</v>
      </c>
      <c r="E67" t="str">
        <f t="shared" si="10"/>
        <v>FF</v>
      </c>
      <c r="F67">
        <f t="shared" si="5"/>
        <v>387</v>
      </c>
      <c r="H67">
        <v>-1</v>
      </c>
      <c r="I67">
        <f t="shared" ref="I67:I98" si="11">H67*220</f>
        <v>-220</v>
      </c>
      <c r="J67">
        <f t="shared" ref="J67:J98" si="12">H67*1000</f>
        <v>-1000</v>
      </c>
      <c r="K67">
        <f t="shared" ref="K67:K98" si="13">H67*30</f>
        <v>-30</v>
      </c>
      <c r="L67">
        <f t="shared" ref="L67:L98" si="14">H67*800</f>
        <v>-800</v>
      </c>
    </row>
    <row r="68" spans="2:12">
      <c r="B68" s="4" t="s">
        <v>3515</v>
      </c>
      <c r="C68" s="54" t="s">
        <v>5069</v>
      </c>
      <c r="E68" t="str">
        <f t="shared" ref="E68:E99" si="15">MID($C$1,(F68),2)</f>
        <v>FE</v>
      </c>
      <c r="F68">
        <f t="shared" ref="F68:F131" si="16">F67+6</f>
        <v>393</v>
      </c>
      <c r="H68">
        <v>-2</v>
      </c>
      <c r="I68">
        <f t="shared" si="11"/>
        <v>-440</v>
      </c>
      <c r="J68">
        <f t="shared" si="12"/>
        <v>-2000</v>
      </c>
      <c r="K68">
        <f t="shared" si="13"/>
        <v>-60</v>
      </c>
      <c r="L68">
        <f t="shared" si="14"/>
        <v>-1600</v>
      </c>
    </row>
    <row r="69" spans="2:12">
      <c r="B69" s="4" t="s">
        <v>5070</v>
      </c>
      <c r="C69" s="54" t="s">
        <v>5071</v>
      </c>
      <c r="E69" t="str">
        <f t="shared" si="15"/>
        <v>FE</v>
      </c>
      <c r="F69">
        <f t="shared" si="16"/>
        <v>399</v>
      </c>
      <c r="H69">
        <v>-2</v>
      </c>
      <c r="I69">
        <f t="shared" si="11"/>
        <v>-440</v>
      </c>
      <c r="J69">
        <f t="shared" si="12"/>
        <v>-2000</v>
      </c>
      <c r="K69">
        <f t="shared" si="13"/>
        <v>-60</v>
      </c>
      <c r="L69">
        <f t="shared" si="14"/>
        <v>-1600</v>
      </c>
    </row>
    <row r="70" spans="2:12">
      <c r="B70" s="4" t="s">
        <v>5072</v>
      </c>
      <c r="C70" s="54" t="s">
        <v>5058</v>
      </c>
      <c r="E70" t="str">
        <f t="shared" si="15"/>
        <v>00</v>
      </c>
      <c r="F70">
        <f t="shared" si="16"/>
        <v>405</v>
      </c>
      <c r="H70">
        <v>0</v>
      </c>
      <c r="I70">
        <f t="shared" si="11"/>
        <v>0</v>
      </c>
      <c r="J70">
        <f t="shared" si="12"/>
        <v>0</v>
      </c>
      <c r="K70">
        <f t="shared" si="13"/>
        <v>0</v>
      </c>
      <c r="L70">
        <f t="shared" si="14"/>
        <v>0</v>
      </c>
    </row>
    <row r="71" spans="2:12">
      <c r="B71" s="4" t="s">
        <v>5073</v>
      </c>
      <c r="C71" t="s">
        <v>5074</v>
      </c>
      <c r="E71" t="str">
        <f t="shared" si="15"/>
        <v>02</v>
      </c>
      <c r="F71">
        <f t="shared" si="16"/>
        <v>411</v>
      </c>
      <c r="H71">
        <v>2</v>
      </c>
      <c r="I71">
        <f t="shared" si="11"/>
        <v>440</v>
      </c>
      <c r="J71">
        <f t="shared" si="12"/>
        <v>2000</v>
      </c>
      <c r="K71">
        <f t="shared" si="13"/>
        <v>60</v>
      </c>
      <c r="L71">
        <f t="shared" si="14"/>
        <v>1600</v>
      </c>
    </row>
    <row r="72" spans="2:12">
      <c r="B72" s="4" t="s">
        <v>5075</v>
      </c>
      <c r="C72" t="s">
        <v>5076</v>
      </c>
      <c r="E72" t="str">
        <f t="shared" si="15"/>
        <v>01</v>
      </c>
      <c r="F72">
        <f t="shared" si="16"/>
        <v>417</v>
      </c>
      <c r="H72">
        <v>1</v>
      </c>
      <c r="I72">
        <f t="shared" si="11"/>
        <v>220</v>
      </c>
      <c r="J72">
        <f t="shared" si="12"/>
        <v>1000</v>
      </c>
      <c r="K72">
        <f t="shared" si="13"/>
        <v>30</v>
      </c>
      <c r="L72">
        <f t="shared" si="14"/>
        <v>800</v>
      </c>
    </row>
    <row r="73" spans="2:12">
      <c r="B73" s="4" t="s">
        <v>5077</v>
      </c>
      <c r="C73" t="s">
        <v>5078</v>
      </c>
      <c r="E73" t="str">
        <f t="shared" si="15"/>
        <v>02</v>
      </c>
      <c r="F73">
        <f t="shared" si="16"/>
        <v>423</v>
      </c>
      <c r="H73">
        <v>2</v>
      </c>
      <c r="I73">
        <f t="shared" si="11"/>
        <v>440</v>
      </c>
      <c r="J73">
        <f t="shared" si="12"/>
        <v>2000</v>
      </c>
      <c r="K73">
        <f t="shared" si="13"/>
        <v>60</v>
      </c>
      <c r="L73">
        <f t="shared" si="14"/>
        <v>1600</v>
      </c>
    </row>
    <row r="74" spans="2:12">
      <c r="B74" s="4" t="s">
        <v>5079</v>
      </c>
      <c r="C74" t="s">
        <v>5080</v>
      </c>
      <c r="E74" t="str">
        <f t="shared" si="15"/>
        <v>01</v>
      </c>
      <c r="F74">
        <f t="shared" si="16"/>
        <v>429</v>
      </c>
      <c r="H74">
        <v>1</v>
      </c>
      <c r="I74">
        <f t="shared" si="11"/>
        <v>220</v>
      </c>
      <c r="J74">
        <f t="shared" si="12"/>
        <v>1000</v>
      </c>
      <c r="K74">
        <f t="shared" si="13"/>
        <v>30</v>
      </c>
      <c r="L74">
        <f t="shared" si="14"/>
        <v>800</v>
      </c>
    </row>
    <row r="75" spans="2:12">
      <c r="B75" s="4" t="s">
        <v>5081</v>
      </c>
      <c r="C75" s="54" t="s">
        <v>5050</v>
      </c>
      <c r="E75" t="str">
        <f t="shared" si="15"/>
        <v>FF</v>
      </c>
      <c r="F75">
        <f t="shared" si="16"/>
        <v>435</v>
      </c>
      <c r="H75">
        <v>-1</v>
      </c>
      <c r="I75">
        <f t="shared" si="11"/>
        <v>-220</v>
      </c>
      <c r="J75">
        <f t="shared" si="12"/>
        <v>-1000</v>
      </c>
      <c r="K75">
        <f t="shared" si="13"/>
        <v>-30</v>
      </c>
      <c r="L75">
        <f t="shared" si="14"/>
        <v>-800</v>
      </c>
    </row>
    <row r="76" spans="2:12">
      <c r="B76" s="4" t="s">
        <v>5082</v>
      </c>
      <c r="C76" s="54" t="s">
        <v>4996</v>
      </c>
      <c r="E76" t="str">
        <f t="shared" si="15"/>
        <v>01</v>
      </c>
      <c r="F76">
        <f t="shared" si="16"/>
        <v>441</v>
      </c>
      <c r="H76">
        <v>1</v>
      </c>
      <c r="I76">
        <f t="shared" si="11"/>
        <v>220</v>
      </c>
      <c r="J76">
        <f t="shared" si="12"/>
        <v>1000</v>
      </c>
      <c r="K76">
        <f t="shared" si="13"/>
        <v>30</v>
      </c>
      <c r="L76">
        <f t="shared" si="14"/>
        <v>800</v>
      </c>
    </row>
    <row r="77" spans="2:12">
      <c r="B77" s="4" t="s">
        <v>1993</v>
      </c>
      <c r="C77" s="54" t="s">
        <v>4998</v>
      </c>
      <c r="E77" t="str">
        <f t="shared" si="15"/>
        <v>FF</v>
      </c>
      <c r="F77">
        <f t="shared" si="16"/>
        <v>447</v>
      </c>
      <c r="H77">
        <v>-1</v>
      </c>
      <c r="I77">
        <f t="shared" si="11"/>
        <v>-220</v>
      </c>
      <c r="J77">
        <f t="shared" si="12"/>
        <v>-1000</v>
      </c>
      <c r="K77">
        <f t="shared" si="13"/>
        <v>-30</v>
      </c>
      <c r="L77">
        <f t="shared" si="14"/>
        <v>-800</v>
      </c>
    </row>
    <row r="78" spans="2:12">
      <c r="B78" s="4" t="s">
        <v>1997</v>
      </c>
      <c r="C78" s="54" t="s">
        <v>5083</v>
      </c>
      <c r="E78" t="str">
        <f t="shared" si="15"/>
        <v>00</v>
      </c>
      <c r="F78">
        <f t="shared" si="16"/>
        <v>453</v>
      </c>
      <c r="H78">
        <v>0</v>
      </c>
      <c r="I78">
        <f t="shared" si="11"/>
        <v>0</v>
      </c>
      <c r="J78">
        <f t="shared" si="12"/>
        <v>0</v>
      </c>
      <c r="K78">
        <f t="shared" si="13"/>
        <v>0</v>
      </c>
      <c r="L78">
        <f t="shared" si="14"/>
        <v>0</v>
      </c>
    </row>
    <row r="79" spans="2:12">
      <c r="B79" s="4" t="s">
        <v>2001</v>
      </c>
      <c r="C79" s="54" t="s">
        <v>5084</v>
      </c>
      <c r="E79" t="str">
        <f t="shared" si="15"/>
        <v>00</v>
      </c>
      <c r="F79">
        <f t="shared" si="16"/>
        <v>459</v>
      </c>
      <c r="H79">
        <v>0</v>
      </c>
      <c r="I79">
        <f t="shared" si="11"/>
        <v>0</v>
      </c>
      <c r="J79">
        <f t="shared" si="12"/>
        <v>0</v>
      </c>
      <c r="K79">
        <f t="shared" si="13"/>
        <v>0</v>
      </c>
      <c r="L79">
        <f t="shared" si="14"/>
        <v>0</v>
      </c>
    </row>
    <row r="80" spans="2:12">
      <c r="B80" s="4" t="s">
        <v>2005</v>
      </c>
      <c r="C80" s="54" t="s">
        <v>5058</v>
      </c>
      <c r="E80" t="str">
        <f t="shared" si="15"/>
        <v>00</v>
      </c>
      <c r="F80">
        <f t="shared" si="16"/>
        <v>465</v>
      </c>
      <c r="H80">
        <v>0</v>
      </c>
      <c r="I80">
        <f t="shared" si="11"/>
        <v>0</v>
      </c>
      <c r="J80">
        <f t="shared" si="12"/>
        <v>0</v>
      </c>
      <c r="K80">
        <f t="shared" si="13"/>
        <v>0</v>
      </c>
      <c r="L80">
        <f t="shared" si="14"/>
        <v>0</v>
      </c>
    </row>
    <row r="81" spans="2:12">
      <c r="B81" s="4" t="s">
        <v>2009</v>
      </c>
      <c r="C81" t="s">
        <v>5085</v>
      </c>
      <c r="E81" t="str">
        <f t="shared" si="15"/>
        <v>02</v>
      </c>
      <c r="F81">
        <f t="shared" si="16"/>
        <v>471</v>
      </c>
      <c r="H81">
        <v>2</v>
      </c>
      <c r="I81">
        <f t="shared" si="11"/>
        <v>440</v>
      </c>
      <c r="J81">
        <f t="shared" si="12"/>
        <v>2000</v>
      </c>
      <c r="K81">
        <f t="shared" si="13"/>
        <v>60</v>
      </c>
      <c r="L81">
        <f t="shared" si="14"/>
        <v>1600</v>
      </c>
    </row>
    <row r="82" spans="2:12">
      <c r="B82" s="4" t="s">
        <v>2013</v>
      </c>
      <c r="C82" t="s">
        <v>5086</v>
      </c>
      <c r="E82" t="str">
        <f t="shared" si="15"/>
        <v>01</v>
      </c>
      <c r="F82">
        <f t="shared" si="16"/>
        <v>477</v>
      </c>
      <c r="H82">
        <v>1</v>
      </c>
      <c r="I82">
        <f t="shared" si="11"/>
        <v>220</v>
      </c>
      <c r="J82">
        <f t="shared" si="12"/>
        <v>1000</v>
      </c>
      <c r="K82">
        <f t="shared" si="13"/>
        <v>30</v>
      </c>
      <c r="L82">
        <f t="shared" si="14"/>
        <v>800</v>
      </c>
    </row>
    <row r="83" spans="2:12">
      <c r="B83" s="4" t="s">
        <v>3518</v>
      </c>
      <c r="C83" t="s">
        <v>5087</v>
      </c>
      <c r="E83" t="str">
        <f t="shared" si="15"/>
        <v>06</v>
      </c>
      <c r="F83">
        <f t="shared" si="16"/>
        <v>483</v>
      </c>
      <c r="H83">
        <v>6</v>
      </c>
      <c r="I83">
        <f t="shared" si="11"/>
        <v>1320</v>
      </c>
      <c r="J83">
        <f t="shared" si="12"/>
        <v>6000</v>
      </c>
      <c r="K83">
        <f t="shared" si="13"/>
        <v>180</v>
      </c>
      <c r="L83">
        <f t="shared" si="14"/>
        <v>4800</v>
      </c>
    </row>
    <row r="84" spans="2:12">
      <c r="B84" s="4" t="s">
        <v>3521</v>
      </c>
      <c r="C84" t="s">
        <v>5088</v>
      </c>
      <c r="E84" t="str">
        <f t="shared" si="15"/>
        <v>03</v>
      </c>
      <c r="F84">
        <f t="shared" si="16"/>
        <v>489</v>
      </c>
      <c r="H84">
        <v>3</v>
      </c>
      <c r="I84">
        <f t="shared" si="11"/>
        <v>660</v>
      </c>
      <c r="J84">
        <f t="shared" si="12"/>
        <v>3000</v>
      </c>
      <c r="K84">
        <f t="shared" si="13"/>
        <v>90</v>
      </c>
      <c r="L84">
        <f t="shared" si="14"/>
        <v>2400</v>
      </c>
    </row>
    <row r="85" spans="2:12">
      <c r="B85" s="4" t="s">
        <v>5089</v>
      </c>
      <c r="C85" t="s">
        <v>5090</v>
      </c>
      <c r="E85" t="str">
        <f t="shared" si="15"/>
        <v>02</v>
      </c>
      <c r="F85">
        <f t="shared" si="16"/>
        <v>495</v>
      </c>
      <c r="H85">
        <v>2</v>
      </c>
      <c r="I85">
        <f t="shared" si="11"/>
        <v>440</v>
      </c>
      <c r="J85">
        <f t="shared" si="12"/>
        <v>2000</v>
      </c>
      <c r="K85">
        <f t="shared" si="13"/>
        <v>60</v>
      </c>
      <c r="L85">
        <f t="shared" si="14"/>
        <v>1600</v>
      </c>
    </row>
    <row r="86" spans="2:12">
      <c r="B86" s="4" t="s">
        <v>5091</v>
      </c>
      <c r="C86" s="54" t="s">
        <v>4996</v>
      </c>
      <c r="E86" t="str">
        <f t="shared" si="15"/>
        <v>03</v>
      </c>
      <c r="F86">
        <f t="shared" si="16"/>
        <v>501</v>
      </c>
      <c r="H86">
        <v>3</v>
      </c>
      <c r="I86">
        <f t="shared" si="11"/>
        <v>660</v>
      </c>
      <c r="J86">
        <f t="shared" si="12"/>
        <v>3000</v>
      </c>
      <c r="K86">
        <f t="shared" si="13"/>
        <v>90</v>
      </c>
      <c r="L86">
        <f t="shared" si="14"/>
        <v>2400</v>
      </c>
    </row>
    <row r="87" spans="2:12">
      <c r="B87" s="4" t="s">
        <v>5092</v>
      </c>
      <c r="C87" s="54" t="s">
        <v>4998</v>
      </c>
      <c r="E87" t="str">
        <f t="shared" si="15"/>
        <v>02</v>
      </c>
      <c r="F87">
        <f t="shared" si="16"/>
        <v>507</v>
      </c>
      <c r="H87">
        <v>2</v>
      </c>
      <c r="I87">
        <f t="shared" si="11"/>
        <v>440</v>
      </c>
      <c r="J87">
        <f t="shared" si="12"/>
        <v>2000</v>
      </c>
      <c r="K87">
        <f t="shared" si="13"/>
        <v>60</v>
      </c>
      <c r="L87">
        <f t="shared" si="14"/>
        <v>1600</v>
      </c>
    </row>
    <row r="88" spans="2:12">
      <c r="B88" s="4" t="s">
        <v>5093</v>
      </c>
      <c r="C88" s="54" t="s">
        <v>4999</v>
      </c>
      <c r="E88" t="str">
        <f t="shared" si="15"/>
        <v>FD</v>
      </c>
      <c r="F88">
        <f t="shared" si="16"/>
        <v>513</v>
      </c>
      <c r="H88">
        <v>-3</v>
      </c>
      <c r="I88">
        <f t="shared" si="11"/>
        <v>-660</v>
      </c>
      <c r="J88">
        <f t="shared" si="12"/>
        <v>-3000</v>
      </c>
      <c r="K88">
        <f t="shared" si="13"/>
        <v>-90</v>
      </c>
      <c r="L88">
        <f t="shared" si="14"/>
        <v>-2400</v>
      </c>
    </row>
    <row r="89" spans="2:12">
      <c r="B89" s="4" t="s">
        <v>5094</v>
      </c>
      <c r="C89" s="54" t="s">
        <v>5095</v>
      </c>
      <c r="E89" t="str">
        <f t="shared" si="15"/>
        <v>FD</v>
      </c>
      <c r="F89">
        <f t="shared" si="16"/>
        <v>519</v>
      </c>
      <c r="H89">
        <v>-3</v>
      </c>
      <c r="I89">
        <f t="shared" si="11"/>
        <v>-660</v>
      </c>
      <c r="J89">
        <f t="shared" si="12"/>
        <v>-3000</v>
      </c>
      <c r="K89">
        <f t="shared" si="13"/>
        <v>-90</v>
      </c>
      <c r="L89">
        <f t="shared" si="14"/>
        <v>-2400</v>
      </c>
    </row>
    <row r="90" spans="2:12">
      <c r="B90" s="4" t="s">
        <v>5096</v>
      </c>
      <c r="C90" s="54" t="s">
        <v>5097</v>
      </c>
      <c r="E90" t="str">
        <f t="shared" si="15"/>
        <v>FF</v>
      </c>
      <c r="F90">
        <f t="shared" si="16"/>
        <v>525</v>
      </c>
      <c r="H90">
        <v>-1</v>
      </c>
      <c r="I90">
        <f t="shared" si="11"/>
        <v>-220</v>
      </c>
      <c r="J90">
        <f t="shared" si="12"/>
        <v>-1000</v>
      </c>
      <c r="K90">
        <f t="shared" si="13"/>
        <v>-30</v>
      </c>
      <c r="L90">
        <f t="shared" si="14"/>
        <v>-800</v>
      </c>
    </row>
    <row r="91" spans="2:12">
      <c r="B91" s="4" t="s">
        <v>5098</v>
      </c>
      <c r="C91" t="s">
        <v>5099</v>
      </c>
      <c r="E91" t="str">
        <f t="shared" si="15"/>
        <v>06</v>
      </c>
      <c r="F91">
        <f t="shared" si="16"/>
        <v>531</v>
      </c>
      <c r="H91">
        <v>6</v>
      </c>
      <c r="I91">
        <f t="shared" si="11"/>
        <v>1320</v>
      </c>
      <c r="J91">
        <f t="shared" si="12"/>
        <v>6000</v>
      </c>
      <c r="K91">
        <f t="shared" si="13"/>
        <v>180</v>
      </c>
      <c r="L91">
        <f t="shared" si="14"/>
        <v>4800</v>
      </c>
    </row>
    <row r="92" spans="2:12">
      <c r="B92" s="4" t="s">
        <v>5100</v>
      </c>
      <c r="C92" t="s">
        <v>5101</v>
      </c>
      <c r="E92" t="str">
        <f t="shared" si="15"/>
        <v>03</v>
      </c>
      <c r="F92">
        <f t="shared" si="16"/>
        <v>537</v>
      </c>
      <c r="H92">
        <v>3</v>
      </c>
      <c r="I92">
        <f t="shared" si="11"/>
        <v>660</v>
      </c>
      <c r="J92">
        <f t="shared" si="12"/>
        <v>3000</v>
      </c>
      <c r="K92">
        <f t="shared" si="13"/>
        <v>90</v>
      </c>
      <c r="L92">
        <f t="shared" si="14"/>
        <v>2400</v>
      </c>
    </row>
    <row r="93" spans="2:12">
      <c r="B93" s="4" t="s">
        <v>5102</v>
      </c>
      <c r="C93" t="s">
        <v>5103</v>
      </c>
      <c r="E93" t="str">
        <f t="shared" si="15"/>
        <v>05</v>
      </c>
      <c r="F93">
        <f t="shared" si="16"/>
        <v>543</v>
      </c>
      <c r="H93">
        <v>5</v>
      </c>
      <c r="I93">
        <f t="shared" si="11"/>
        <v>1100</v>
      </c>
      <c r="J93">
        <f t="shared" si="12"/>
        <v>5000</v>
      </c>
      <c r="K93">
        <f t="shared" si="13"/>
        <v>150</v>
      </c>
      <c r="L93">
        <f t="shared" si="14"/>
        <v>4000</v>
      </c>
    </row>
    <row r="94" spans="2:12">
      <c r="B94" s="4" t="s">
        <v>5104</v>
      </c>
      <c r="C94" t="s">
        <v>5105</v>
      </c>
      <c r="E94" t="str">
        <f t="shared" si="15"/>
        <v>02</v>
      </c>
      <c r="F94">
        <f t="shared" si="16"/>
        <v>549</v>
      </c>
      <c r="H94">
        <v>2</v>
      </c>
      <c r="I94">
        <f t="shared" si="11"/>
        <v>440</v>
      </c>
      <c r="J94">
        <f t="shared" si="12"/>
        <v>2000</v>
      </c>
      <c r="K94">
        <f t="shared" si="13"/>
        <v>60</v>
      </c>
      <c r="L94">
        <f t="shared" si="14"/>
        <v>1600</v>
      </c>
    </row>
    <row r="95" spans="2:12">
      <c r="B95" s="4" t="s">
        <v>5106</v>
      </c>
      <c r="C95" s="54" t="s">
        <v>5107</v>
      </c>
      <c r="E95" t="str">
        <f t="shared" si="15"/>
        <v>01</v>
      </c>
      <c r="F95">
        <f t="shared" si="16"/>
        <v>555</v>
      </c>
      <c r="H95">
        <v>1</v>
      </c>
      <c r="I95">
        <f t="shared" si="11"/>
        <v>220</v>
      </c>
      <c r="J95">
        <f t="shared" si="12"/>
        <v>1000</v>
      </c>
      <c r="K95">
        <f t="shared" si="13"/>
        <v>30</v>
      </c>
      <c r="L95">
        <f t="shared" si="14"/>
        <v>800</v>
      </c>
    </row>
    <row r="96" spans="2:12">
      <c r="B96" s="4" t="s">
        <v>5108</v>
      </c>
      <c r="C96" s="54" t="s">
        <v>4996</v>
      </c>
      <c r="E96" t="str">
        <f t="shared" si="15"/>
        <v>02</v>
      </c>
      <c r="F96">
        <f t="shared" si="16"/>
        <v>561</v>
      </c>
      <c r="H96">
        <v>2</v>
      </c>
      <c r="I96">
        <f t="shared" si="11"/>
        <v>440</v>
      </c>
      <c r="J96">
        <f t="shared" si="12"/>
        <v>2000</v>
      </c>
      <c r="K96">
        <f t="shared" si="13"/>
        <v>60</v>
      </c>
      <c r="L96">
        <f t="shared" si="14"/>
        <v>1600</v>
      </c>
    </row>
    <row r="97" spans="2:12">
      <c r="B97" s="4" t="s">
        <v>5109</v>
      </c>
      <c r="C97" s="54" t="s">
        <v>4998</v>
      </c>
      <c r="E97" t="str">
        <f t="shared" si="15"/>
        <v>01</v>
      </c>
      <c r="F97">
        <f t="shared" si="16"/>
        <v>567</v>
      </c>
      <c r="H97">
        <v>1</v>
      </c>
      <c r="I97">
        <f t="shared" si="11"/>
        <v>220</v>
      </c>
      <c r="J97">
        <f t="shared" si="12"/>
        <v>1000</v>
      </c>
      <c r="K97">
        <f t="shared" si="13"/>
        <v>30</v>
      </c>
      <c r="L97">
        <f t="shared" si="14"/>
        <v>800</v>
      </c>
    </row>
    <row r="98" spans="2:12">
      <c r="B98" s="4" t="s">
        <v>266</v>
      </c>
      <c r="C98" t="s">
        <v>5110</v>
      </c>
      <c r="E98" t="str">
        <f t="shared" si="15"/>
        <v>FD</v>
      </c>
      <c r="F98">
        <f t="shared" si="16"/>
        <v>573</v>
      </c>
      <c r="H98">
        <v>-3</v>
      </c>
      <c r="I98">
        <f t="shared" si="11"/>
        <v>-660</v>
      </c>
      <c r="J98">
        <f t="shared" si="12"/>
        <v>-3000</v>
      </c>
      <c r="K98">
        <f t="shared" si="13"/>
        <v>-90</v>
      </c>
      <c r="L98">
        <f t="shared" si="14"/>
        <v>-2400</v>
      </c>
    </row>
    <row r="99" spans="2:12">
      <c r="B99" s="4" t="s">
        <v>5111</v>
      </c>
      <c r="C99" t="s">
        <v>5112</v>
      </c>
      <c r="E99" t="str">
        <f t="shared" si="15"/>
        <v>FD</v>
      </c>
      <c r="F99">
        <f t="shared" si="16"/>
        <v>579</v>
      </c>
      <c r="H99">
        <v>-3</v>
      </c>
      <c r="I99">
        <f t="shared" ref="I99:I130" si="17">H99*220</f>
        <v>-660</v>
      </c>
      <c r="J99">
        <f t="shared" ref="J99:J133" si="18">H99*1000</f>
        <v>-3000</v>
      </c>
      <c r="K99">
        <f t="shared" ref="K99:K132" si="19">H99*30</f>
        <v>-90</v>
      </c>
      <c r="L99">
        <f t="shared" ref="L99:L132" si="20">H99*800</f>
        <v>-2400</v>
      </c>
    </row>
    <row r="100" spans="2:12">
      <c r="B100" s="4" t="s">
        <v>5113</v>
      </c>
      <c r="C100" t="s">
        <v>5114</v>
      </c>
      <c r="E100" t="str">
        <f t="shared" ref="E100:E131" si="21">MID($C$1,(F100),2)</f>
        <v>FF</v>
      </c>
      <c r="F100">
        <f t="shared" si="16"/>
        <v>585</v>
      </c>
      <c r="H100">
        <v>-1</v>
      </c>
      <c r="I100">
        <f t="shared" si="17"/>
        <v>-220</v>
      </c>
      <c r="J100">
        <f t="shared" si="18"/>
        <v>-1000</v>
      </c>
      <c r="K100">
        <f t="shared" si="19"/>
        <v>-30</v>
      </c>
      <c r="L100">
        <f t="shared" si="20"/>
        <v>-800</v>
      </c>
    </row>
    <row r="101" spans="2:12">
      <c r="B101" s="4" t="s">
        <v>5115</v>
      </c>
      <c r="C101" t="s">
        <v>5116</v>
      </c>
      <c r="E101" t="str">
        <f t="shared" si="21"/>
        <v>05</v>
      </c>
      <c r="F101">
        <f t="shared" si="16"/>
        <v>591</v>
      </c>
      <c r="H101">
        <v>5</v>
      </c>
      <c r="I101">
        <f t="shared" si="17"/>
        <v>1100</v>
      </c>
      <c r="J101">
        <f t="shared" si="18"/>
        <v>5000</v>
      </c>
      <c r="K101">
        <f t="shared" si="19"/>
        <v>150</v>
      </c>
      <c r="L101">
        <f t="shared" si="20"/>
        <v>4000</v>
      </c>
    </row>
    <row r="102" spans="2:12">
      <c r="B102" s="4" t="s">
        <v>5117</v>
      </c>
      <c r="C102" t="s">
        <v>5118</v>
      </c>
      <c r="E102" t="str">
        <f t="shared" si="21"/>
        <v>02</v>
      </c>
      <c r="F102">
        <f t="shared" si="16"/>
        <v>597</v>
      </c>
      <c r="H102">
        <v>2</v>
      </c>
      <c r="I102">
        <f t="shared" si="17"/>
        <v>440</v>
      </c>
      <c r="J102">
        <f t="shared" si="18"/>
        <v>2000</v>
      </c>
      <c r="K102">
        <f t="shared" si="19"/>
        <v>60</v>
      </c>
      <c r="L102">
        <f t="shared" si="20"/>
        <v>1600</v>
      </c>
    </row>
    <row r="103" spans="2:12">
      <c r="B103" s="4" t="s">
        <v>5119</v>
      </c>
      <c r="C103" t="s">
        <v>5120</v>
      </c>
      <c r="E103" t="str">
        <f t="shared" si="21"/>
        <v>01</v>
      </c>
      <c r="F103">
        <f t="shared" si="16"/>
        <v>603</v>
      </c>
      <c r="H103">
        <v>1</v>
      </c>
      <c r="I103">
        <f t="shared" si="17"/>
        <v>220</v>
      </c>
      <c r="J103">
        <f t="shared" si="18"/>
        <v>1000</v>
      </c>
      <c r="K103">
        <f t="shared" si="19"/>
        <v>30</v>
      </c>
      <c r="L103">
        <f t="shared" si="20"/>
        <v>800</v>
      </c>
    </row>
    <row r="104" spans="2:12">
      <c r="B104" s="4" t="s">
        <v>5121</v>
      </c>
      <c r="C104" t="s">
        <v>5122</v>
      </c>
      <c r="E104" t="str">
        <f t="shared" si="21"/>
        <v>FF</v>
      </c>
      <c r="F104">
        <f t="shared" si="16"/>
        <v>609</v>
      </c>
      <c r="H104">
        <v>-1</v>
      </c>
      <c r="I104">
        <f t="shared" si="17"/>
        <v>-220</v>
      </c>
      <c r="J104">
        <f t="shared" si="18"/>
        <v>-1000</v>
      </c>
      <c r="K104">
        <f t="shared" si="19"/>
        <v>-30</v>
      </c>
      <c r="L104">
        <f t="shared" si="20"/>
        <v>-800</v>
      </c>
    </row>
    <row r="105" spans="2:12">
      <c r="B105" s="4" t="s">
        <v>5123</v>
      </c>
      <c r="C105" t="s">
        <v>5124</v>
      </c>
      <c r="E105" t="str">
        <f t="shared" si="21"/>
        <v>FF</v>
      </c>
      <c r="F105">
        <f t="shared" si="16"/>
        <v>615</v>
      </c>
      <c r="H105">
        <v>-1</v>
      </c>
      <c r="I105">
        <f t="shared" si="17"/>
        <v>-220</v>
      </c>
      <c r="J105">
        <f t="shared" si="18"/>
        <v>-1000</v>
      </c>
      <c r="K105">
        <f t="shared" si="19"/>
        <v>-30</v>
      </c>
      <c r="L105">
        <f t="shared" si="20"/>
        <v>-800</v>
      </c>
    </row>
    <row r="106" spans="2:12">
      <c r="B106" s="4" t="s">
        <v>5125</v>
      </c>
      <c r="C106" s="54" t="s">
        <v>4996</v>
      </c>
      <c r="E106" t="str">
        <f t="shared" si="21"/>
        <v>FF</v>
      </c>
      <c r="F106">
        <f t="shared" si="16"/>
        <v>621</v>
      </c>
      <c r="H106">
        <v>-1</v>
      </c>
      <c r="I106">
        <f t="shared" si="17"/>
        <v>-220</v>
      </c>
      <c r="J106">
        <f t="shared" si="18"/>
        <v>-1000</v>
      </c>
      <c r="K106">
        <f t="shared" si="19"/>
        <v>-30</v>
      </c>
      <c r="L106">
        <f t="shared" si="20"/>
        <v>-800</v>
      </c>
    </row>
    <row r="107" spans="2:12">
      <c r="B107" s="4" t="s">
        <v>5126</v>
      </c>
      <c r="C107" s="54" t="s">
        <v>4998</v>
      </c>
      <c r="E107" t="str">
        <f t="shared" si="21"/>
        <v>FF</v>
      </c>
      <c r="F107">
        <f t="shared" si="16"/>
        <v>627</v>
      </c>
      <c r="H107">
        <v>-1</v>
      </c>
      <c r="I107">
        <f t="shared" si="17"/>
        <v>-220</v>
      </c>
      <c r="J107">
        <f t="shared" si="18"/>
        <v>-1000</v>
      </c>
      <c r="K107">
        <f t="shared" si="19"/>
        <v>-30</v>
      </c>
      <c r="L107">
        <f t="shared" si="20"/>
        <v>-800</v>
      </c>
    </row>
    <row r="108" spans="2:12">
      <c r="B108" s="4" t="s">
        <v>5127</v>
      </c>
      <c r="C108" s="54" t="s">
        <v>5083</v>
      </c>
      <c r="E108" t="str">
        <f t="shared" si="21"/>
        <v>00</v>
      </c>
      <c r="F108">
        <f t="shared" si="16"/>
        <v>633</v>
      </c>
      <c r="H108">
        <v>0</v>
      </c>
      <c r="I108">
        <f t="shared" si="17"/>
        <v>0</v>
      </c>
      <c r="J108">
        <f t="shared" si="18"/>
        <v>0</v>
      </c>
      <c r="K108">
        <f t="shared" si="19"/>
        <v>0</v>
      </c>
      <c r="L108">
        <f t="shared" si="20"/>
        <v>0</v>
      </c>
    </row>
    <row r="109" spans="2:12">
      <c r="B109" s="4" t="s">
        <v>5128</v>
      </c>
      <c r="C109" s="54" t="s">
        <v>5084</v>
      </c>
      <c r="E109" t="str">
        <f t="shared" si="21"/>
        <v>00</v>
      </c>
      <c r="F109">
        <f t="shared" si="16"/>
        <v>639</v>
      </c>
      <c r="H109">
        <v>0</v>
      </c>
      <c r="I109">
        <f t="shared" si="17"/>
        <v>0</v>
      </c>
      <c r="J109">
        <f t="shared" si="18"/>
        <v>0</v>
      </c>
      <c r="K109">
        <f t="shared" si="19"/>
        <v>0</v>
      </c>
      <c r="L109">
        <f t="shared" si="20"/>
        <v>0</v>
      </c>
    </row>
    <row r="110" spans="2:12">
      <c r="B110" s="4" t="s">
        <v>5129</v>
      </c>
      <c r="C110" s="54" t="s">
        <v>5058</v>
      </c>
      <c r="E110" t="str">
        <f t="shared" si="21"/>
        <v>00</v>
      </c>
      <c r="F110">
        <f t="shared" si="16"/>
        <v>645</v>
      </c>
      <c r="H110">
        <v>0</v>
      </c>
      <c r="I110">
        <f t="shared" si="17"/>
        <v>0</v>
      </c>
      <c r="J110">
        <f t="shared" si="18"/>
        <v>0</v>
      </c>
      <c r="K110">
        <f t="shared" si="19"/>
        <v>0</v>
      </c>
      <c r="L110">
        <f t="shared" si="20"/>
        <v>0</v>
      </c>
    </row>
    <row r="111" spans="2:12">
      <c r="B111" s="4" t="s">
        <v>2020</v>
      </c>
      <c r="C111" s="17" t="s">
        <v>5130</v>
      </c>
      <c r="E111" t="str">
        <f t="shared" si="21"/>
        <v>01</v>
      </c>
      <c r="F111">
        <f t="shared" si="16"/>
        <v>651</v>
      </c>
      <c r="H111">
        <v>1</v>
      </c>
      <c r="I111">
        <f t="shared" si="17"/>
        <v>220</v>
      </c>
      <c r="J111">
        <f t="shared" si="18"/>
        <v>1000</v>
      </c>
      <c r="K111">
        <f t="shared" si="19"/>
        <v>30</v>
      </c>
      <c r="L111">
        <f t="shared" si="20"/>
        <v>800</v>
      </c>
    </row>
    <row r="112" spans="2:12">
      <c r="B112" s="4" t="s">
        <v>5131</v>
      </c>
      <c r="C112" s="17" t="s">
        <v>5132</v>
      </c>
      <c r="E112" t="str">
        <f t="shared" si="21"/>
        <v>FF</v>
      </c>
      <c r="F112">
        <f t="shared" si="16"/>
        <v>657</v>
      </c>
      <c r="H112">
        <v>-1</v>
      </c>
      <c r="I112">
        <f t="shared" si="17"/>
        <v>-220</v>
      </c>
      <c r="J112">
        <f t="shared" si="18"/>
        <v>-1000</v>
      </c>
      <c r="K112">
        <f t="shared" si="19"/>
        <v>-30</v>
      </c>
      <c r="L112">
        <f t="shared" si="20"/>
        <v>-800</v>
      </c>
    </row>
    <row r="113" spans="2:12">
      <c r="B113" s="4" t="s">
        <v>5133</v>
      </c>
      <c r="C113" s="17" t="s">
        <v>5134</v>
      </c>
      <c r="E113" t="str">
        <f t="shared" si="21"/>
        <v>05</v>
      </c>
      <c r="F113">
        <f t="shared" si="16"/>
        <v>663</v>
      </c>
      <c r="H113">
        <v>5</v>
      </c>
      <c r="I113">
        <f t="shared" si="17"/>
        <v>1100</v>
      </c>
      <c r="J113">
        <f t="shared" si="18"/>
        <v>5000</v>
      </c>
      <c r="K113">
        <f t="shared" si="19"/>
        <v>150</v>
      </c>
      <c r="L113">
        <f t="shared" si="20"/>
        <v>4000</v>
      </c>
    </row>
    <row r="114" spans="2:12">
      <c r="B114" s="4" t="s">
        <v>5135</v>
      </c>
      <c r="C114" s="17" t="s">
        <v>5136</v>
      </c>
      <c r="E114" t="str">
        <f t="shared" si="21"/>
        <v>02</v>
      </c>
      <c r="F114">
        <f t="shared" si="16"/>
        <v>669</v>
      </c>
      <c r="H114">
        <v>2</v>
      </c>
      <c r="I114">
        <f t="shared" si="17"/>
        <v>440</v>
      </c>
      <c r="J114">
        <f t="shared" si="18"/>
        <v>2000</v>
      </c>
      <c r="K114">
        <f t="shared" si="19"/>
        <v>60</v>
      </c>
      <c r="L114">
        <f t="shared" si="20"/>
        <v>1600</v>
      </c>
    </row>
    <row r="115" spans="2:12">
      <c r="B115" s="4" t="s">
        <v>5137</v>
      </c>
      <c r="C115" s="17" t="s">
        <v>5138</v>
      </c>
      <c r="E115" t="str">
        <f t="shared" si="21"/>
        <v>01</v>
      </c>
      <c r="F115">
        <f t="shared" si="16"/>
        <v>675</v>
      </c>
      <c r="H115">
        <v>1</v>
      </c>
      <c r="I115">
        <f t="shared" si="17"/>
        <v>220</v>
      </c>
      <c r="J115">
        <f t="shared" si="18"/>
        <v>1000</v>
      </c>
      <c r="K115">
        <f t="shared" si="19"/>
        <v>30</v>
      </c>
      <c r="L115">
        <f t="shared" si="20"/>
        <v>800</v>
      </c>
    </row>
    <row r="116" spans="2:12">
      <c r="B116" s="4" t="s">
        <v>5139</v>
      </c>
      <c r="C116" s="54" t="s">
        <v>4996</v>
      </c>
      <c r="E116" t="str">
        <f t="shared" si="21"/>
        <v>02</v>
      </c>
      <c r="F116">
        <f t="shared" si="16"/>
        <v>681</v>
      </c>
      <c r="H116">
        <v>2</v>
      </c>
      <c r="I116">
        <f t="shared" si="17"/>
        <v>440</v>
      </c>
      <c r="J116">
        <f t="shared" si="18"/>
        <v>2000</v>
      </c>
      <c r="K116">
        <f t="shared" si="19"/>
        <v>60</v>
      </c>
      <c r="L116">
        <f t="shared" si="20"/>
        <v>1600</v>
      </c>
    </row>
    <row r="117" spans="2:12">
      <c r="B117" s="4" t="s">
        <v>5140</v>
      </c>
      <c r="C117" s="54" t="s">
        <v>4998</v>
      </c>
      <c r="E117" t="str">
        <f t="shared" si="21"/>
        <v>01</v>
      </c>
      <c r="F117">
        <f t="shared" si="16"/>
        <v>687</v>
      </c>
      <c r="H117">
        <v>1</v>
      </c>
      <c r="I117">
        <f t="shared" si="17"/>
        <v>220</v>
      </c>
      <c r="J117">
        <f t="shared" si="18"/>
        <v>1000</v>
      </c>
      <c r="K117">
        <f t="shared" si="19"/>
        <v>30</v>
      </c>
      <c r="L117">
        <f t="shared" si="20"/>
        <v>800</v>
      </c>
    </row>
    <row r="118" spans="2:12">
      <c r="B118" s="4" t="s">
        <v>5141</v>
      </c>
      <c r="C118" s="54" t="s">
        <v>5083</v>
      </c>
      <c r="E118" t="str">
        <f t="shared" si="21"/>
        <v>00</v>
      </c>
      <c r="F118">
        <f t="shared" si="16"/>
        <v>693</v>
      </c>
      <c r="H118">
        <v>0</v>
      </c>
      <c r="I118">
        <f t="shared" si="17"/>
        <v>0</v>
      </c>
      <c r="J118">
        <f t="shared" si="18"/>
        <v>0</v>
      </c>
      <c r="K118">
        <f t="shared" si="19"/>
        <v>0</v>
      </c>
      <c r="L118">
        <f t="shared" si="20"/>
        <v>0</v>
      </c>
    </row>
    <row r="119" spans="2:12">
      <c r="B119" s="4" t="s">
        <v>5142</v>
      </c>
      <c r="C119" s="54" t="s">
        <v>5084</v>
      </c>
      <c r="E119" t="str">
        <f t="shared" si="21"/>
        <v>00</v>
      </c>
      <c r="F119">
        <f t="shared" si="16"/>
        <v>699</v>
      </c>
      <c r="H119">
        <v>0</v>
      </c>
      <c r="I119">
        <f t="shared" si="17"/>
        <v>0</v>
      </c>
      <c r="J119">
        <f t="shared" si="18"/>
        <v>0</v>
      </c>
      <c r="K119">
        <f t="shared" si="19"/>
        <v>0</v>
      </c>
      <c r="L119">
        <f t="shared" si="20"/>
        <v>0</v>
      </c>
    </row>
    <row r="120" spans="2:12">
      <c r="B120" s="4" t="s">
        <v>5143</v>
      </c>
      <c r="C120" s="54" t="s">
        <v>5058</v>
      </c>
      <c r="E120" t="str">
        <f t="shared" si="21"/>
        <v>00</v>
      </c>
      <c r="F120">
        <f t="shared" si="16"/>
        <v>705</v>
      </c>
      <c r="H120">
        <v>0</v>
      </c>
      <c r="I120">
        <f t="shared" si="17"/>
        <v>0</v>
      </c>
      <c r="J120">
        <f t="shared" si="18"/>
        <v>0</v>
      </c>
      <c r="K120">
        <f t="shared" si="19"/>
        <v>0</v>
      </c>
      <c r="L120">
        <f t="shared" si="20"/>
        <v>0</v>
      </c>
    </row>
    <row r="121" spans="2:12">
      <c r="B121" s="4" t="s">
        <v>5144</v>
      </c>
      <c r="C121" s="54" t="s">
        <v>5145</v>
      </c>
      <c r="E121" t="str">
        <f t="shared" si="21"/>
        <v>05</v>
      </c>
      <c r="F121">
        <f t="shared" si="16"/>
        <v>711</v>
      </c>
      <c r="H121">
        <v>5</v>
      </c>
      <c r="I121">
        <f t="shared" si="17"/>
        <v>1100</v>
      </c>
      <c r="J121">
        <f t="shared" si="18"/>
        <v>5000</v>
      </c>
      <c r="K121">
        <f t="shared" si="19"/>
        <v>150</v>
      </c>
      <c r="L121">
        <f t="shared" si="20"/>
        <v>4000</v>
      </c>
    </row>
    <row r="122" spans="2:12">
      <c r="B122" s="4" t="s">
        <v>5146</v>
      </c>
      <c r="C122" s="17" t="s">
        <v>5147</v>
      </c>
      <c r="E122" t="str">
        <f t="shared" si="21"/>
        <v>02</v>
      </c>
      <c r="F122">
        <f t="shared" si="16"/>
        <v>717</v>
      </c>
      <c r="H122">
        <v>2</v>
      </c>
      <c r="I122">
        <f t="shared" si="17"/>
        <v>440</v>
      </c>
      <c r="J122">
        <f t="shared" si="18"/>
        <v>2000</v>
      </c>
      <c r="K122">
        <f t="shared" si="19"/>
        <v>60</v>
      </c>
      <c r="L122">
        <f t="shared" si="20"/>
        <v>1600</v>
      </c>
    </row>
    <row r="123" spans="2:12">
      <c r="B123" s="4" t="s">
        <v>5148</v>
      </c>
      <c r="C123" s="17" t="s">
        <v>5149</v>
      </c>
      <c r="E123" t="str">
        <f t="shared" si="21"/>
        <v>FE</v>
      </c>
      <c r="F123">
        <f t="shared" si="16"/>
        <v>723</v>
      </c>
      <c r="H123">
        <v>-2</v>
      </c>
      <c r="I123">
        <f t="shared" si="17"/>
        <v>-440</v>
      </c>
      <c r="J123">
        <f t="shared" si="18"/>
        <v>-2000</v>
      </c>
      <c r="K123">
        <f t="shared" si="19"/>
        <v>-60</v>
      </c>
      <c r="L123">
        <f t="shared" si="20"/>
        <v>-1600</v>
      </c>
    </row>
    <row r="124" spans="2:12">
      <c r="B124" s="4" t="s">
        <v>5150</v>
      </c>
      <c r="C124" s="17" t="s">
        <v>5151</v>
      </c>
      <c r="E124" t="str">
        <f t="shared" si="21"/>
        <v>FD</v>
      </c>
      <c r="F124">
        <f t="shared" si="16"/>
        <v>729</v>
      </c>
      <c r="H124">
        <v>-3</v>
      </c>
      <c r="I124">
        <f t="shared" si="17"/>
        <v>-660</v>
      </c>
      <c r="J124">
        <f t="shared" si="18"/>
        <v>-3000</v>
      </c>
      <c r="K124">
        <f t="shared" si="19"/>
        <v>-90</v>
      </c>
      <c r="L124">
        <f t="shared" si="20"/>
        <v>-2400</v>
      </c>
    </row>
    <row r="125" spans="2:12">
      <c r="B125" s="4" t="s">
        <v>5152</v>
      </c>
      <c r="C125" s="17" t="s">
        <v>5153</v>
      </c>
      <c r="E125" t="str">
        <f t="shared" si="21"/>
        <v>FA</v>
      </c>
      <c r="F125">
        <f t="shared" si="16"/>
        <v>735</v>
      </c>
      <c r="H125">
        <v>-6</v>
      </c>
      <c r="I125">
        <f t="shared" si="17"/>
        <v>-1320</v>
      </c>
      <c r="J125">
        <f t="shared" si="18"/>
        <v>-6000</v>
      </c>
      <c r="K125">
        <f t="shared" si="19"/>
        <v>-180</v>
      </c>
      <c r="L125">
        <f t="shared" si="20"/>
        <v>-4800</v>
      </c>
    </row>
    <row r="126" spans="2:12">
      <c r="B126" s="4" t="s">
        <v>2030</v>
      </c>
      <c r="C126" s="54" t="s">
        <v>4996</v>
      </c>
      <c r="E126" t="str">
        <f t="shared" si="21"/>
        <v>FA</v>
      </c>
      <c r="F126">
        <f t="shared" si="16"/>
        <v>741</v>
      </c>
      <c r="H126">
        <v>-6</v>
      </c>
      <c r="I126">
        <f t="shared" si="17"/>
        <v>-1320</v>
      </c>
      <c r="J126">
        <f t="shared" si="18"/>
        <v>-6000</v>
      </c>
      <c r="K126">
        <f t="shared" si="19"/>
        <v>-180</v>
      </c>
      <c r="L126">
        <f t="shared" si="20"/>
        <v>-4800</v>
      </c>
    </row>
    <row r="127" spans="2:12">
      <c r="B127" s="4" t="s">
        <v>5154</v>
      </c>
      <c r="C127" s="54" t="s">
        <v>4998</v>
      </c>
      <c r="E127" t="str">
        <f t="shared" si="21"/>
        <v>FA</v>
      </c>
      <c r="F127">
        <f t="shared" si="16"/>
        <v>747</v>
      </c>
      <c r="H127">
        <v>-6</v>
      </c>
      <c r="I127">
        <f t="shared" si="17"/>
        <v>-1320</v>
      </c>
      <c r="J127">
        <f t="shared" si="18"/>
        <v>-6000</v>
      </c>
      <c r="K127">
        <f t="shared" si="19"/>
        <v>-180</v>
      </c>
      <c r="L127">
        <f t="shared" si="20"/>
        <v>-4800</v>
      </c>
    </row>
    <row r="128" spans="2:12">
      <c r="B128" s="4" t="s">
        <v>5155</v>
      </c>
      <c r="C128" s="17" t="s">
        <v>5156</v>
      </c>
      <c r="E128" t="str">
        <f t="shared" si="21"/>
        <v>FA</v>
      </c>
      <c r="F128">
        <f t="shared" si="16"/>
        <v>753</v>
      </c>
      <c r="H128">
        <v>-6</v>
      </c>
      <c r="I128">
        <f t="shared" si="17"/>
        <v>-1320</v>
      </c>
      <c r="J128">
        <f t="shared" si="18"/>
        <v>-6000</v>
      </c>
      <c r="K128">
        <f t="shared" si="19"/>
        <v>-180</v>
      </c>
      <c r="L128">
        <f t="shared" si="20"/>
        <v>-4800</v>
      </c>
    </row>
    <row r="129" spans="2:12">
      <c r="B129" s="4" t="s">
        <v>5157</v>
      </c>
      <c r="C129" s="17" t="s">
        <v>5158</v>
      </c>
      <c r="E129" t="str">
        <f t="shared" si="21"/>
        <v>FA</v>
      </c>
      <c r="F129">
        <f t="shared" si="16"/>
        <v>759</v>
      </c>
      <c r="H129">
        <v>-6</v>
      </c>
      <c r="I129">
        <f t="shared" si="17"/>
        <v>-1320</v>
      </c>
      <c r="J129">
        <f t="shared" si="18"/>
        <v>-6000</v>
      </c>
      <c r="K129">
        <f t="shared" si="19"/>
        <v>-180</v>
      </c>
      <c r="L129">
        <f t="shared" si="20"/>
        <v>-4800</v>
      </c>
    </row>
    <row r="130" spans="2:12">
      <c r="B130" s="4" t="s">
        <v>5159</v>
      </c>
      <c r="C130" s="17" t="s">
        <v>5160</v>
      </c>
      <c r="E130" t="str">
        <f t="shared" si="21"/>
        <v>FA</v>
      </c>
      <c r="F130">
        <f t="shared" si="16"/>
        <v>765</v>
      </c>
      <c r="H130">
        <v>-6</v>
      </c>
      <c r="I130">
        <f t="shared" si="17"/>
        <v>-1320</v>
      </c>
      <c r="J130">
        <f t="shared" si="18"/>
        <v>-6000</v>
      </c>
      <c r="K130">
        <f t="shared" si="19"/>
        <v>-180</v>
      </c>
      <c r="L130">
        <f t="shared" si="20"/>
        <v>-4800</v>
      </c>
    </row>
    <row r="131" spans="2:12">
      <c r="B131" s="4" t="s">
        <v>3487</v>
      </c>
      <c r="C131" s="17" t="s">
        <v>5161</v>
      </c>
      <c r="E131" t="str">
        <f t="shared" si="21"/>
        <v>FE</v>
      </c>
      <c r="F131">
        <f t="shared" si="16"/>
        <v>771</v>
      </c>
      <c r="H131">
        <v>-2</v>
      </c>
      <c r="I131">
        <f t="shared" ref="I131:I132" si="22">H131*220</f>
        <v>-440</v>
      </c>
      <c r="J131">
        <f t="shared" si="18"/>
        <v>-2000</v>
      </c>
      <c r="K131">
        <f t="shared" si="19"/>
        <v>-60</v>
      </c>
      <c r="L131">
        <f t="shared" si="20"/>
        <v>-1600</v>
      </c>
    </row>
    <row r="132" spans="2:12">
      <c r="B132" s="4" t="s">
        <v>3490</v>
      </c>
      <c r="C132" t="s">
        <v>5162</v>
      </c>
      <c r="E132" t="str">
        <f t="shared" ref="E132:E155" si="23">MID($C$1,(F132),2)</f>
        <v>FD</v>
      </c>
      <c r="F132">
        <f t="shared" ref="F132:F195" si="24">F131+6</f>
        <v>777</v>
      </c>
      <c r="H132">
        <v>-3</v>
      </c>
      <c r="I132">
        <f t="shared" si="22"/>
        <v>-660</v>
      </c>
      <c r="J132">
        <f t="shared" si="18"/>
        <v>-3000</v>
      </c>
      <c r="K132">
        <f t="shared" si="19"/>
        <v>-90</v>
      </c>
      <c r="L132">
        <f t="shared" si="20"/>
        <v>-2400</v>
      </c>
    </row>
    <row r="133" spans="2:12">
      <c r="B133" s="4" t="s">
        <v>5163</v>
      </c>
      <c r="C133" s="6" t="s">
        <v>5164</v>
      </c>
      <c r="E133" t="str">
        <f t="shared" si="23"/>
        <v>00</v>
      </c>
      <c r="F133">
        <f t="shared" si="24"/>
        <v>783</v>
      </c>
      <c r="H133">
        <v>0</v>
      </c>
      <c r="J133">
        <f t="shared" si="18"/>
        <v>0</v>
      </c>
    </row>
    <row r="134" spans="2:12">
      <c r="B134" s="4" t="s">
        <v>5165</v>
      </c>
      <c r="C134" s="6" t="s">
        <v>5164</v>
      </c>
      <c r="E134" t="str">
        <f t="shared" si="23"/>
        <v>00</v>
      </c>
      <c r="F134">
        <f t="shared" si="24"/>
        <v>789</v>
      </c>
      <c r="H134">
        <v>0</v>
      </c>
    </row>
    <row r="135" spans="2:12">
      <c r="E135" t="str">
        <f t="shared" si="23"/>
        <v/>
      </c>
      <c r="F135">
        <f t="shared" si="24"/>
        <v>795</v>
      </c>
      <c r="I135">
        <v>22000</v>
      </c>
      <c r="J135">
        <v>100000</v>
      </c>
      <c r="K135">
        <v>3000</v>
      </c>
      <c r="L135">
        <v>80000</v>
      </c>
    </row>
    <row r="136" spans="2:12">
      <c r="E136" t="str">
        <f t="shared" si="23"/>
        <v/>
      </c>
      <c r="F136">
        <f t="shared" si="24"/>
        <v>801</v>
      </c>
    </row>
    <row r="137" spans="2:12">
      <c r="E137" t="str">
        <f t="shared" si="23"/>
        <v/>
      </c>
      <c r="F137">
        <f t="shared" si="24"/>
        <v>807</v>
      </c>
    </row>
    <row r="138" spans="2:12">
      <c r="E138" t="str">
        <f t="shared" si="23"/>
        <v/>
      </c>
      <c r="F138">
        <f t="shared" si="24"/>
        <v>813</v>
      </c>
    </row>
    <row r="139" spans="2:12">
      <c r="E139" t="str">
        <f t="shared" si="23"/>
        <v/>
      </c>
      <c r="F139">
        <f t="shared" si="24"/>
        <v>819</v>
      </c>
    </row>
    <row r="140" spans="2:12">
      <c r="E140" t="str">
        <f t="shared" si="23"/>
        <v/>
      </c>
      <c r="F140">
        <f t="shared" si="24"/>
        <v>825</v>
      </c>
    </row>
    <row r="141" spans="2:12">
      <c r="E141" t="str">
        <f t="shared" si="23"/>
        <v/>
      </c>
      <c r="F141">
        <f t="shared" si="24"/>
        <v>831</v>
      </c>
    </row>
    <row r="142" spans="2:12">
      <c r="E142" t="str">
        <f t="shared" si="23"/>
        <v/>
      </c>
      <c r="F142">
        <f t="shared" si="24"/>
        <v>837</v>
      </c>
    </row>
    <row r="143" spans="2:12">
      <c r="E143" t="str">
        <f t="shared" si="23"/>
        <v/>
      </c>
      <c r="F143">
        <f t="shared" si="24"/>
        <v>843</v>
      </c>
    </row>
    <row r="144" spans="2:12">
      <c r="E144" t="str">
        <f t="shared" si="23"/>
        <v/>
      </c>
      <c r="F144">
        <f t="shared" si="24"/>
        <v>849</v>
      </c>
    </row>
    <row r="145" spans="5:6">
      <c r="E145" t="str">
        <f t="shared" si="23"/>
        <v/>
      </c>
      <c r="F145">
        <f t="shared" si="24"/>
        <v>855</v>
      </c>
    </row>
    <row r="146" spans="5:6">
      <c r="E146" t="str">
        <f t="shared" si="23"/>
        <v/>
      </c>
      <c r="F146">
        <f t="shared" si="24"/>
        <v>861</v>
      </c>
    </row>
    <row r="147" spans="5:6">
      <c r="E147" t="str">
        <f t="shared" si="23"/>
        <v/>
      </c>
      <c r="F147">
        <f t="shared" si="24"/>
        <v>867</v>
      </c>
    </row>
    <row r="148" spans="5:6">
      <c r="E148" t="str">
        <f t="shared" si="23"/>
        <v/>
      </c>
      <c r="F148">
        <f t="shared" si="24"/>
        <v>873</v>
      </c>
    </row>
    <row r="149" spans="5:6">
      <c r="E149" t="str">
        <f t="shared" si="23"/>
        <v/>
      </c>
      <c r="F149">
        <f t="shared" si="24"/>
        <v>879</v>
      </c>
    </row>
    <row r="150" spans="5:6">
      <c r="E150" t="str">
        <f t="shared" si="23"/>
        <v/>
      </c>
      <c r="F150">
        <f t="shared" si="24"/>
        <v>885</v>
      </c>
    </row>
    <row r="151" spans="5:6">
      <c r="E151" t="str">
        <f t="shared" si="23"/>
        <v/>
      </c>
      <c r="F151">
        <f t="shared" si="24"/>
        <v>891</v>
      </c>
    </row>
    <row r="152" spans="5:6">
      <c r="E152" t="str">
        <f t="shared" si="23"/>
        <v/>
      </c>
      <c r="F152">
        <f t="shared" si="24"/>
        <v>897</v>
      </c>
    </row>
    <row r="153" spans="5:6">
      <c r="E153" t="str">
        <f t="shared" si="23"/>
        <v/>
      </c>
      <c r="F153">
        <f t="shared" si="24"/>
        <v>903</v>
      </c>
    </row>
    <row r="154" spans="5:6">
      <c r="E154" t="str">
        <f t="shared" si="23"/>
        <v/>
      </c>
      <c r="F154">
        <f t="shared" si="24"/>
        <v>909</v>
      </c>
    </row>
    <row r="155" spans="5:6">
      <c r="E155" t="str">
        <f t="shared" si="23"/>
        <v/>
      </c>
      <c r="F155">
        <f t="shared" si="24"/>
        <v>915</v>
      </c>
    </row>
    <row r="156" spans="5:6">
      <c r="F156">
        <f t="shared" si="24"/>
        <v>921</v>
      </c>
    </row>
    <row r="157" spans="5:6">
      <c r="F157">
        <f t="shared" si="24"/>
        <v>927</v>
      </c>
    </row>
    <row r="158" spans="5:6">
      <c r="F158">
        <f t="shared" si="24"/>
        <v>933</v>
      </c>
    </row>
    <row r="159" spans="5:6">
      <c r="F159">
        <f t="shared" si="24"/>
        <v>939</v>
      </c>
    </row>
    <row r="160" spans="5:6">
      <c r="F160">
        <f t="shared" si="24"/>
        <v>945</v>
      </c>
    </row>
    <row r="161" spans="6:6">
      <c r="F161">
        <f t="shared" si="24"/>
        <v>951</v>
      </c>
    </row>
    <row r="162" spans="6:6">
      <c r="F162">
        <f t="shared" si="24"/>
        <v>957</v>
      </c>
    </row>
    <row r="163" spans="6:6">
      <c r="F163">
        <f t="shared" si="24"/>
        <v>963</v>
      </c>
    </row>
    <row r="164" spans="6:6">
      <c r="F164">
        <f t="shared" si="24"/>
        <v>969</v>
      </c>
    </row>
    <row r="165" spans="6:6">
      <c r="F165">
        <f t="shared" si="24"/>
        <v>975</v>
      </c>
    </row>
    <row r="166" spans="6:6">
      <c r="F166">
        <f t="shared" si="24"/>
        <v>981</v>
      </c>
    </row>
    <row r="167" spans="6:6">
      <c r="F167">
        <f t="shared" si="24"/>
        <v>987</v>
      </c>
    </row>
    <row r="168" spans="6:6">
      <c r="F168">
        <f t="shared" si="24"/>
        <v>993</v>
      </c>
    </row>
    <row r="169" spans="6:6">
      <c r="F169">
        <f t="shared" si="24"/>
        <v>999</v>
      </c>
    </row>
    <row r="170" spans="6:6">
      <c r="F170">
        <f t="shared" si="24"/>
        <v>1005</v>
      </c>
    </row>
    <row r="171" spans="6:6">
      <c r="F171">
        <f t="shared" si="24"/>
        <v>1011</v>
      </c>
    </row>
    <row r="172" spans="6:6">
      <c r="F172">
        <f t="shared" si="24"/>
        <v>1017</v>
      </c>
    </row>
    <row r="173" spans="6:6">
      <c r="F173">
        <f t="shared" si="24"/>
        <v>1023</v>
      </c>
    </row>
    <row r="174" spans="6:6">
      <c r="F174">
        <f t="shared" si="24"/>
        <v>1029</v>
      </c>
    </row>
    <row r="175" spans="6:6">
      <c r="F175">
        <f t="shared" si="24"/>
        <v>1035</v>
      </c>
    </row>
    <row r="176" spans="6:6">
      <c r="F176">
        <f t="shared" si="24"/>
        <v>1041</v>
      </c>
    </row>
    <row r="177" spans="6:6">
      <c r="F177">
        <f t="shared" si="24"/>
        <v>1047</v>
      </c>
    </row>
    <row r="178" spans="6:6">
      <c r="F178">
        <f t="shared" si="24"/>
        <v>1053</v>
      </c>
    </row>
    <row r="179" spans="6:6">
      <c r="F179">
        <f t="shared" si="24"/>
        <v>1059</v>
      </c>
    </row>
    <row r="180" spans="6:6">
      <c r="F180">
        <f t="shared" si="24"/>
        <v>1065</v>
      </c>
    </row>
    <row r="181" spans="6:6">
      <c r="F181">
        <f t="shared" si="24"/>
        <v>1071</v>
      </c>
    </row>
    <row r="182" spans="6:6">
      <c r="F182">
        <f t="shared" si="24"/>
        <v>1077</v>
      </c>
    </row>
    <row r="183" spans="6:6">
      <c r="F183">
        <f t="shared" si="24"/>
        <v>1083</v>
      </c>
    </row>
    <row r="184" spans="6:6">
      <c r="F184">
        <f t="shared" si="24"/>
        <v>1089</v>
      </c>
    </row>
    <row r="185" spans="6:6">
      <c r="F185">
        <f t="shared" si="24"/>
        <v>1095</v>
      </c>
    </row>
    <row r="186" spans="6:6">
      <c r="F186">
        <f t="shared" si="24"/>
        <v>1101</v>
      </c>
    </row>
    <row r="187" spans="6:6">
      <c r="F187">
        <f t="shared" si="24"/>
        <v>1107</v>
      </c>
    </row>
    <row r="188" spans="6:6">
      <c r="F188">
        <f t="shared" si="24"/>
        <v>1113</v>
      </c>
    </row>
    <row r="189" spans="6:6">
      <c r="F189">
        <f t="shared" si="24"/>
        <v>1119</v>
      </c>
    </row>
    <row r="190" spans="6:6">
      <c r="F190">
        <f t="shared" si="24"/>
        <v>1125</v>
      </c>
    </row>
    <row r="191" spans="6:6">
      <c r="F191">
        <f t="shared" si="24"/>
        <v>1131</v>
      </c>
    </row>
    <row r="192" spans="6:6">
      <c r="F192">
        <f t="shared" si="24"/>
        <v>1137</v>
      </c>
    </row>
    <row r="193" spans="6:6">
      <c r="F193">
        <f t="shared" si="24"/>
        <v>1143</v>
      </c>
    </row>
    <row r="194" spans="6:6">
      <c r="F194">
        <f t="shared" si="24"/>
        <v>1149</v>
      </c>
    </row>
    <row r="195" spans="6:6">
      <c r="F195">
        <f t="shared" si="24"/>
        <v>1155</v>
      </c>
    </row>
    <row r="196" spans="6:6">
      <c r="F196">
        <f t="shared" ref="F196:F205" si="25">F195+6</f>
        <v>1161</v>
      </c>
    </row>
    <row r="197" spans="6:6">
      <c r="F197">
        <f t="shared" si="25"/>
        <v>1167</v>
      </c>
    </row>
    <row r="198" spans="6:6">
      <c r="F198">
        <f t="shared" si="25"/>
        <v>1173</v>
      </c>
    </row>
    <row r="199" spans="6:6">
      <c r="F199">
        <f t="shared" si="25"/>
        <v>1179</v>
      </c>
    </row>
    <row r="200" spans="6:6">
      <c r="F200">
        <f t="shared" si="25"/>
        <v>1185</v>
      </c>
    </row>
    <row r="201" spans="6:6">
      <c r="F201">
        <f t="shared" si="25"/>
        <v>1191</v>
      </c>
    </row>
    <row r="202" spans="6:6">
      <c r="F202">
        <f t="shared" si="25"/>
        <v>1197</v>
      </c>
    </row>
    <row r="203" spans="6:6">
      <c r="F203">
        <f t="shared" si="25"/>
        <v>1203</v>
      </c>
    </row>
    <row r="204" spans="6:6">
      <c r="F204">
        <f t="shared" si="25"/>
        <v>1209</v>
      </c>
    </row>
    <row r="205" spans="6:6">
      <c r="F205">
        <f t="shared" si="25"/>
        <v>1215</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D105"/>
  <sheetViews>
    <sheetView zoomScaleNormal="100" workbookViewId="0"/>
  </sheetViews>
  <sheetFormatPr defaultColWidth="11.5703125" defaultRowHeight="15"/>
  <cols>
    <col min="1" max="1" width="21.140625" customWidth="1"/>
    <col min="2" max="4" width="11.7109375" customWidth="1"/>
    <col min="5" max="64" width="9.42578125" customWidth="1"/>
  </cols>
  <sheetData>
    <row r="1" spans="1:1">
      <c r="A1" t="s">
        <v>5166</v>
      </c>
    </row>
    <row r="2" spans="1:1">
      <c r="A2" t="s">
        <v>5167</v>
      </c>
    </row>
    <row r="3" spans="1:1">
      <c r="A3" t="s">
        <v>5168</v>
      </c>
    </row>
    <row r="4" spans="1:1">
      <c r="A4" t="s">
        <v>5169</v>
      </c>
    </row>
    <row r="5" spans="1:1">
      <c r="A5" t="s">
        <v>5170</v>
      </c>
    </row>
    <row r="6" spans="1:1">
      <c r="A6" t="s">
        <v>5171</v>
      </c>
    </row>
    <row r="7" spans="1:1">
      <c r="A7" t="s">
        <v>5172</v>
      </c>
    </row>
    <row r="8" spans="1:1">
      <c r="A8" t="s">
        <v>5173</v>
      </c>
    </row>
    <row r="9" spans="1:1">
      <c r="A9" t="s">
        <v>5174</v>
      </c>
    </row>
    <row r="10" spans="1:1">
      <c r="A10" t="s">
        <v>5175</v>
      </c>
    </row>
    <row r="11" spans="1:1">
      <c r="A11" t="s">
        <v>5176</v>
      </c>
    </row>
    <row r="12" spans="1:1">
      <c r="A12" t="s">
        <v>5177</v>
      </c>
    </row>
    <row r="13" spans="1:1">
      <c r="A13" t="s">
        <v>5178</v>
      </c>
    </row>
    <row r="14" spans="1:1">
      <c r="A14" t="s">
        <v>5179</v>
      </c>
    </row>
    <row r="15" spans="1:1">
      <c r="A15" t="s">
        <v>5180</v>
      </c>
    </row>
    <row r="16" spans="1:1">
      <c r="A16" t="s">
        <v>5181</v>
      </c>
    </row>
    <row r="17" spans="1:1">
      <c r="A17" t="s">
        <v>5182</v>
      </c>
    </row>
    <row r="18" spans="1:1">
      <c r="A18" t="s">
        <v>5183</v>
      </c>
    </row>
    <row r="19" spans="1:1">
      <c r="A19" t="s">
        <v>5184</v>
      </c>
    </row>
    <row r="20" spans="1:1">
      <c r="A20" t="s">
        <v>5185</v>
      </c>
    </row>
    <row r="21" spans="1:1">
      <c r="A21" t="s">
        <v>5186</v>
      </c>
    </row>
    <row r="22" spans="1:1">
      <c r="A22" t="s">
        <v>5187</v>
      </c>
    </row>
    <row r="23" spans="1:1">
      <c r="A23" t="s">
        <v>5188</v>
      </c>
    </row>
    <row r="24" spans="1:1">
      <c r="A24" t="s">
        <v>5189</v>
      </c>
    </row>
    <row r="25" spans="1:1">
      <c r="A25" t="s">
        <v>5190</v>
      </c>
    </row>
    <row r="26" spans="1:1">
      <c r="A26" t="s">
        <v>5191</v>
      </c>
    </row>
    <row r="27" spans="1:1">
      <c r="A27" t="s">
        <v>5192</v>
      </c>
    </row>
    <row r="28" spans="1:1">
      <c r="A28" t="s">
        <v>5193</v>
      </c>
    </row>
    <row r="29" spans="1:1">
      <c r="A29" t="s">
        <v>5194</v>
      </c>
    </row>
    <row r="30" spans="1:1">
      <c r="A30" t="s">
        <v>5195</v>
      </c>
    </row>
    <row r="31" spans="1:1">
      <c r="A31" t="s">
        <v>5196</v>
      </c>
    </row>
    <row r="32" spans="1:1">
      <c r="A32" t="s">
        <v>5197</v>
      </c>
    </row>
    <row r="33" spans="1:4">
      <c r="A33" t="s">
        <v>5198</v>
      </c>
    </row>
    <row r="34" spans="1:4">
      <c r="A34" t="s">
        <v>5199</v>
      </c>
    </row>
    <row r="35" spans="1:4">
      <c r="A35" t="s">
        <v>5200</v>
      </c>
    </row>
    <row r="36" spans="1:4">
      <c r="A36" t="s">
        <v>5201</v>
      </c>
    </row>
    <row r="37" spans="1:4">
      <c r="A37" t="s">
        <v>5202</v>
      </c>
    </row>
    <row r="38" spans="1:4">
      <c r="A38" t="s">
        <v>5203</v>
      </c>
    </row>
    <row r="39" spans="1:4">
      <c r="A39" t="s">
        <v>5204</v>
      </c>
    </row>
    <row r="40" spans="1:4">
      <c r="A40" t="s">
        <v>5205</v>
      </c>
    </row>
    <row r="41" spans="1:4">
      <c r="A41" t="s">
        <v>5206</v>
      </c>
    </row>
    <row r="42" spans="1:4">
      <c r="A42" t="s">
        <v>5207</v>
      </c>
    </row>
    <row r="43" spans="1:4">
      <c r="A43" t="s">
        <v>5208</v>
      </c>
    </row>
    <row r="44" spans="1:4">
      <c r="A44" t="s">
        <v>5209</v>
      </c>
    </row>
    <row r="45" spans="1:4">
      <c r="A45" t="s">
        <v>5210</v>
      </c>
    </row>
    <row r="46" spans="1:4">
      <c r="A46" t="s">
        <v>5211</v>
      </c>
      <c r="D46" t="s">
        <v>5212</v>
      </c>
    </row>
    <row r="47" spans="1:4">
      <c r="A47" t="s">
        <v>5213</v>
      </c>
    </row>
    <row r="48" spans="1:4">
      <c r="A48" t="s">
        <v>5214</v>
      </c>
    </row>
    <row r="49" spans="1:1">
      <c r="A49" t="s">
        <v>5215</v>
      </c>
    </row>
    <row r="50" spans="1:1">
      <c r="A50" t="s">
        <v>5216</v>
      </c>
    </row>
    <row r="51" spans="1:1">
      <c r="A51" t="s">
        <v>5217</v>
      </c>
    </row>
    <row r="52" spans="1:1">
      <c r="A52" t="s">
        <v>5218</v>
      </c>
    </row>
    <row r="53" spans="1:1">
      <c r="A53" t="s">
        <v>5219</v>
      </c>
    </row>
    <row r="54" spans="1:1">
      <c r="A54" t="s">
        <v>5220</v>
      </c>
    </row>
    <row r="55" spans="1:1">
      <c r="A55" t="s">
        <v>5221</v>
      </c>
    </row>
    <row r="56" spans="1:1">
      <c r="A56" t="s">
        <v>5222</v>
      </c>
    </row>
    <row r="57" spans="1:1">
      <c r="A57" t="s">
        <v>5223</v>
      </c>
    </row>
    <row r="58" spans="1:1">
      <c r="A58" t="s">
        <v>5224</v>
      </c>
    </row>
    <row r="59" spans="1:1">
      <c r="A59" t="s">
        <v>5225</v>
      </c>
    </row>
    <row r="60" spans="1:1">
      <c r="A60" t="s">
        <v>5226</v>
      </c>
    </row>
    <row r="61" spans="1:1">
      <c r="A61" t="s">
        <v>5227</v>
      </c>
    </row>
    <row r="62" spans="1:1">
      <c r="A62" t="s">
        <v>5228</v>
      </c>
    </row>
    <row r="63" spans="1:1">
      <c r="A63" t="s">
        <v>5229</v>
      </c>
    </row>
    <row r="64" spans="1:1">
      <c r="A64" t="s">
        <v>5230</v>
      </c>
    </row>
    <row r="65" spans="1:1">
      <c r="A65" t="s">
        <v>5231</v>
      </c>
    </row>
    <row r="66" spans="1:1">
      <c r="A66" t="s">
        <v>5232</v>
      </c>
    </row>
    <row r="67" spans="1:1">
      <c r="A67" t="s">
        <v>5233</v>
      </c>
    </row>
    <row r="68" spans="1:1">
      <c r="A68" t="s">
        <v>5234</v>
      </c>
    </row>
    <row r="69" spans="1:1">
      <c r="A69" t="s">
        <v>5235</v>
      </c>
    </row>
    <row r="70" spans="1:1">
      <c r="A70" t="s">
        <v>5236</v>
      </c>
    </row>
    <row r="71" spans="1:1">
      <c r="A71" t="s">
        <v>5237</v>
      </c>
    </row>
    <row r="72" spans="1:1">
      <c r="A72" t="s">
        <v>5238</v>
      </c>
    </row>
    <row r="73" spans="1:1">
      <c r="A73" t="s">
        <v>5239</v>
      </c>
    </row>
    <row r="74" spans="1:1">
      <c r="A74" t="s">
        <v>5240</v>
      </c>
    </row>
    <row r="75" spans="1:1">
      <c r="A75" t="s">
        <v>5241</v>
      </c>
    </row>
    <row r="76" spans="1:1">
      <c r="A76" t="s">
        <v>5242</v>
      </c>
    </row>
    <row r="77" spans="1:1">
      <c r="A77" t="s">
        <v>5243</v>
      </c>
    </row>
    <row r="78" spans="1:1">
      <c r="A78" t="s">
        <v>5244</v>
      </c>
    </row>
    <row r="79" spans="1:1">
      <c r="A79" t="s">
        <v>5245</v>
      </c>
    </row>
    <row r="80" spans="1:1">
      <c r="A80" t="s">
        <v>5246</v>
      </c>
    </row>
    <row r="81" spans="1:1">
      <c r="A81" t="s">
        <v>5247</v>
      </c>
    </row>
    <row r="82" spans="1:1">
      <c r="A82" t="s">
        <v>5248</v>
      </c>
    </row>
    <row r="83" spans="1:1">
      <c r="A83" t="s">
        <v>5249</v>
      </c>
    </row>
    <row r="84" spans="1:1">
      <c r="A84" t="s">
        <v>5250</v>
      </c>
    </row>
    <row r="85" spans="1:1">
      <c r="A85" t="s">
        <v>5251</v>
      </c>
    </row>
    <row r="86" spans="1:1">
      <c r="A86" t="s">
        <v>5252</v>
      </c>
    </row>
    <row r="87" spans="1:1">
      <c r="A87" t="s">
        <v>5253</v>
      </c>
    </row>
    <row r="88" spans="1:1">
      <c r="A88" t="s">
        <v>5254</v>
      </c>
    </row>
    <row r="89" spans="1:1">
      <c r="A89" t="s">
        <v>5255</v>
      </c>
    </row>
    <row r="90" spans="1:1">
      <c r="A90" t="s">
        <v>5256</v>
      </c>
    </row>
    <row r="91" spans="1:1">
      <c r="A91" t="s">
        <v>5257</v>
      </c>
    </row>
    <row r="92" spans="1:1">
      <c r="A92" t="s">
        <v>5258</v>
      </c>
    </row>
    <row r="93" spans="1:1">
      <c r="A93" t="s">
        <v>5259</v>
      </c>
    </row>
    <row r="94" spans="1:1">
      <c r="A94" t="s">
        <v>5260</v>
      </c>
    </row>
    <row r="95" spans="1:1">
      <c r="A95" t="s">
        <v>5261</v>
      </c>
    </row>
    <row r="97" spans="1:1">
      <c r="A97" t="s">
        <v>5262</v>
      </c>
    </row>
    <row r="99" spans="1:1">
      <c r="A99" t="s">
        <v>5263</v>
      </c>
    </row>
    <row r="100" spans="1:1">
      <c r="A100" t="s">
        <v>5264</v>
      </c>
    </row>
    <row r="102" spans="1:1">
      <c r="A102" t="s">
        <v>5265</v>
      </c>
    </row>
    <row r="103" spans="1:1">
      <c r="A103" t="s">
        <v>5266</v>
      </c>
    </row>
    <row r="104" spans="1:1">
      <c r="A104" t="s">
        <v>5267</v>
      </c>
    </row>
    <row r="105" spans="1:1">
      <c r="A105" t="s">
        <v>5268</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M89"/>
  <sheetViews>
    <sheetView zoomScaleNormal="100" workbookViewId="0">
      <selection activeCell="A22" sqref="A22"/>
    </sheetView>
  </sheetViews>
  <sheetFormatPr defaultColWidth="11.5703125" defaultRowHeight="15"/>
  <cols>
    <col min="1" max="1" width="58.7109375" customWidth="1"/>
    <col min="2" max="4" width="11.7109375" customWidth="1"/>
    <col min="5" max="5" width="13.140625" customWidth="1"/>
    <col min="6" max="10" width="9.42578125" customWidth="1"/>
    <col min="11" max="12" width="16" customWidth="1"/>
    <col min="13" max="13" width="15.7109375" customWidth="1"/>
    <col min="14" max="64" width="9.42578125" customWidth="1"/>
  </cols>
  <sheetData>
    <row r="1" spans="1:5">
      <c r="A1" t="s">
        <v>5269</v>
      </c>
      <c r="B1" t="s">
        <v>665</v>
      </c>
      <c r="D1" t="s">
        <v>5270</v>
      </c>
      <c r="E1" t="s">
        <v>5271</v>
      </c>
    </row>
    <row r="2" spans="1:5">
      <c r="A2" t="s">
        <v>5272</v>
      </c>
    </row>
    <row r="3" spans="1:5">
      <c r="A3" t="s">
        <v>5273</v>
      </c>
    </row>
    <row r="4" spans="1:5">
      <c r="A4" t="s">
        <v>5274</v>
      </c>
    </row>
    <row r="5" spans="1:5">
      <c r="A5" t="s">
        <v>5275</v>
      </c>
      <c r="B5" t="s">
        <v>5276</v>
      </c>
      <c r="C5" t="s">
        <v>5277</v>
      </c>
      <c r="D5" t="s">
        <v>5278</v>
      </c>
    </row>
    <row r="6" spans="1:5">
      <c r="A6" t="s">
        <v>5279</v>
      </c>
      <c r="C6" t="s">
        <v>5280</v>
      </c>
    </row>
    <row r="7" spans="1:5">
      <c r="A7" t="s">
        <v>7735</v>
      </c>
      <c r="C7" t="s">
        <v>5277</v>
      </c>
      <c r="D7" t="s">
        <v>5270</v>
      </c>
    </row>
    <row r="8" spans="1:5">
      <c r="A8" t="s">
        <v>7742</v>
      </c>
      <c r="B8" t="s">
        <v>5276</v>
      </c>
    </row>
    <row r="9" spans="1:5">
      <c r="A9" t="s">
        <v>5281</v>
      </c>
    </row>
    <row r="10" spans="1:5">
      <c r="A10" t="s">
        <v>5282</v>
      </c>
    </row>
    <row r="11" spans="1:5">
      <c r="A11" t="s">
        <v>5283</v>
      </c>
    </row>
    <row r="13" spans="1:5">
      <c r="A13" t="s">
        <v>5284</v>
      </c>
      <c r="B13" t="s">
        <v>7661</v>
      </c>
    </row>
    <row r="14" spans="1:5">
      <c r="A14" t="s">
        <v>5272</v>
      </c>
    </row>
    <row r="15" spans="1:5">
      <c r="A15" t="s">
        <v>5285</v>
      </c>
    </row>
    <row r="16" spans="1:5">
      <c r="A16" s="77" t="s">
        <v>5286</v>
      </c>
    </row>
    <row r="17" spans="1:13">
      <c r="A17" s="77" t="s">
        <v>5287</v>
      </c>
    </row>
    <row r="18" spans="1:13">
      <c r="A18" s="77" t="s">
        <v>5288</v>
      </c>
    </row>
    <row r="19" spans="1:13">
      <c r="A19" s="77" t="s">
        <v>5289</v>
      </c>
    </row>
    <row r="20" spans="1:13">
      <c r="A20" s="62" t="s">
        <v>5290</v>
      </c>
    </row>
    <row r="21" spans="1:13">
      <c r="A21" s="62" t="s">
        <v>5291</v>
      </c>
    </row>
    <row r="22" spans="1:13">
      <c r="A22" s="62" t="s">
        <v>5292</v>
      </c>
    </row>
    <row r="23" spans="1:13">
      <c r="A23" t="s">
        <v>5283</v>
      </c>
      <c r="B23" t="s">
        <v>5276</v>
      </c>
      <c r="C23" t="s">
        <v>5277</v>
      </c>
      <c r="D23" t="s">
        <v>5278</v>
      </c>
    </row>
    <row r="26" spans="1:13">
      <c r="A26" t="s">
        <v>5293</v>
      </c>
      <c r="B26" t="s">
        <v>2900</v>
      </c>
    </row>
    <row r="27" spans="1:13">
      <c r="A27" t="s">
        <v>5272</v>
      </c>
    </row>
    <row r="28" spans="1:13">
      <c r="A28" t="s">
        <v>5273</v>
      </c>
    </row>
    <row r="29" spans="1:13">
      <c r="A29" s="78" t="s">
        <v>5294</v>
      </c>
    </row>
    <row r="30" spans="1:13">
      <c r="A30" s="78" t="s">
        <v>5295</v>
      </c>
    </row>
    <row r="31" spans="1:13">
      <c r="A31" s="79" t="s">
        <v>5296</v>
      </c>
      <c r="M31" t="s">
        <v>5297</v>
      </c>
    </row>
    <row r="32" spans="1:13">
      <c r="A32" s="79" t="s">
        <v>5298</v>
      </c>
      <c r="I32" t="s">
        <v>5299</v>
      </c>
      <c r="K32" t="s">
        <v>5300</v>
      </c>
      <c r="L32" t="s">
        <v>5301</v>
      </c>
      <c r="M32" t="s">
        <v>5300</v>
      </c>
    </row>
    <row r="33" spans="1:13">
      <c r="A33" s="79" t="s">
        <v>5302</v>
      </c>
      <c r="I33" t="s">
        <v>5303</v>
      </c>
      <c r="K33" t="s">
        <v>5304</v>
      </c>
      <c r="L33" t="s">
        <v>5305</v>
      </c>
      <c r="M33" t="s">
        <v>5306</v>
      </c>
    </row>
    <row r="34" spans="1:13">
      <c r="A34" s="80" t="s">
        <v>5307</v>
      </c>
    </row>
    <row r="35" spans="1:13">
      <c r="A35" t="s">
        <v>5308</v>
      </c>
    </row>
    <row r="36" spans="1:13">
      <c r="A36" s="77" t="s">
        <v>5309</v>
      </c>
    </row>
    <row r="38" spans="1:13">
      <c r="A38" t="s">
        <v>5310</v>
      </c>
    </row>
    <row r="39" spans="1:13">
      <c r="A39" t="s">
        <v>5272</v>
      </c>
    </row>
    <row r="40" spans="1:13">
      <c r="A40" t="s">
        <v>5311</v>
      </c>
    </row>
    <row r="41" spans="1:13">
      <c r="A41" s="81" t="s">
        <v>5312</v>
      </c>
    </row>
    <row r="42" spans="1:13">
      <c r="A42" s="81" t="s">
        <v>5313</v>
      </c>
    </row>
    <row r="43" spans="1:13">
      <c r="A43" s="81" t="s">
        <v>5314</v>
      </c>
    </row>
    <row r="44" spans="1:13">
      <c r="A44" s="78" t="s">
        <v>5315</v>
      </c>
      <c r="B44" t="s">
        <v>5276</v>
      </c>
      <c r="C44" t="s">
        <v>5277</v>
      </c>
      <c r="D44" t="s">
        <v>5278</v>
      </c>
    </row>
    <row r="45" spans="1:13">
      <c r="A45" s="78" t="s">
        <v>5316</v>
      </c>
    </row>
    <row r="46" spans="1:13">
      <c r="A46" s="78" t="s">
        <v>5317</v>
      </c>
    </row>
    <row r="47" spans="1:13">
      <c r="A47" s="78" t="s">
        <v>5318</v>
      </c>
    </row>
    <row r="48" spans="1:13">
      <c r="A48" s="78" t="s">
        <v>5319</v>
      </c>
    </row>
    <row r="55" spans="1:1">
      <c r="A55" s="81" t="s">
        <v>5312</v>
      </c>
    </row>
    <row r="56" spans="1:1">
      <c r="A56" s="81" t="s">
        <v>5313</v>
      </c>
    </row>
    <row r="57" spans="1:1">
      <c r="A57" s="81" t="s">
        <v>5314</v>
      </c>
    </row>
    <row r="58" spans="1:1">
      <c r="A58" s="78" t="s">
        <v>5315</v>
      </c>
    </row>
    <row r="59" spans="1:1">
      <c r="A59" s="78" t="s">
        <v>5316</v>
      </c>
    </row>
    <row r="60" spans="1:1">
      <c r="A60" s="78" t="s">
        <v>5317</v>
      </c>
    </row>
    <row r="61" spans="1:1">
      <c r="A61" s="78" t="s">
        <v>5318</v>
      </c>
    </row>
    <row r="62" spans="1:1">
      <c r="A62" s="78" t="s">
        <v>5319</v>
      </c>
    </row>
    <row r="64" spans="1:1">
      <c r="A64" s="78" t="s">
        <v>5294</v>
      </c>
    </row>
    <row r="65" spans="1:5">
      <c r="A65" s="78" t="s">
        <v>5295</v>
      </c>
    </row>
    <row r="66" spans="1:5">
      <c r="A66" s="79" t="s">
        <v>5296</v>
      </c>
    </row>
    <row r="67" spans="1:5">
      <c r="A67" s="79" t="s">
        <v>5298</v>
      </c>
    </row>
    <row r="68" spans="1:5">
      <c r="A68" s="79" t="s">
        <v>5302</v>
      </c>
    </row>
    <row r="69" spans="1:5">
      <c r="A69" s="80" t="s">
        <v>5307</v>
      </c>
    </row>
    <row r="70" spans="1:5">
      <c r="A70" s="82" t="s">
        <v>5308</v>
      </c>
    </row>
    <row r="71" spans="1:5">
      <c r="A71" s="77" t="s">
        <v>5309</v>
      </c>
    </row>
    <row r="73" spans="1:5">
      <c r="A73" s="77" t="s">
        <v>5286</v>
      </c>
    </row>
    <row r="74" spans="1:5">
      <c r="A74" s="77" t="s">
        <v>5287</v>
      </c>
    </row>
    <row r="75" spans="1:5">
      <c r="A75" s="77" t="s">
        <v>5288</v>
      </c>
    </row>
    <row r="76" spans="1:5">
      <c r="A76" s="77" t="s">
        <v>5289</v>
      </c>
    </row>
    <row r="77" spans="1:5">
      <c r="A77" s="62" t="s">
        <v>5290</v>
      </c>
    </row>
    <row r="78" spans="1:5">
      <c r="A78" s="62" t="s">
        <v>5291</v>
      </c>
    </row>
    <row r="79" spans="1:5">
      <c r="A79" s="62" t="s">
        <v>5292</v>
      </c>
    </row>
    <row r="80" spans="1:5">
      <c r="A80" t="s">
        <v>5283</v>
      </c>
      <c r="B80" t="s">
        <v>5320</v>
      </c>
      <c r="C80" t="s">
        <v>5321</v>
      </c>
      <c r="D80" t="s">
        <v>5322</v>
      </c>
      <c r="E80" t="s">
        <v>5323</v>
      </c>
    </row>
    <row r="82" spans="1:1">
      <c r="A82" s="83" t="s">
        <v>5274</v>
      </c>
    </row>
    <row r="83" spans="1:1">
      <c r="A83" t="s">
        <v>5324</v>
      </c>
    </row>
    <row r="84" spans="1:1">
      <c r="A84" t="s">
        <v>5279</v>
      </c>
    </row>
    <row r="85" spans="1:1">
      <c r="A85" t="s">
        <v>5325</v>
      </c>
    </row>
    <row r="86" spans="1:1">
      <c r="A86" s="32" t="s">
        <v>5326</v>
      </c>
    </row>
    <row r="87" spans="1:1">
      <c r="A87" t="s">
        <v>5281</v>
      </c>
    </row>
    <row r="88" spans="1:1">
      <c r="A88" t="s">
        <v>5282</v>
      </c>
    </row>
    <row r="89" spans="1:1">
      <c r="A89" t="s">
        <v>5283</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1300"/>
  <sheetViews>
    <sheetView zoomScaleNormal="100" workbookViewId="0"/>
  </sheetViews>
  <sheetFormatPr defaultColWidth="11.5703125" defaultRowHeight="15"/>
  <cols>
    <col min="1" max="1" width="57.42578125" customWidth="1"/>
    <col min="2" max="64" width="9.42578125" customWidth="1"/>
  </cols>
  <sheetData>
    <row r="1" spans="1:1">
      <c r="A1" t="s">
        <v>5327</v>
      </c>
    </row>
    <row r="2" spans="1:1">
      <c r="A2" t="s">
        <v>5328</v>
      </c>
    </row>
    <row r="3" spans="1:1">
      <c r="A3" t="s">
        <v>5329</v>
      </c>
    </row>
    <row r="4" spans="1:1">
      <c r="A4" t="s">
        <v>5330</v>
      </c>
    </row>
    <row r="5" spans="1:1">
      <c r="A5" t="s">
        <v>5331</v>
      </c>
    </row>
    <row r="7" spans="1:1">
      <c r="A7" t="s">
        <v>5332</v>
      </c>
    </row>
    <row r="9" spans="1:1">
      <c r="A9" t="s">
        <v>5333</v>
      </c>
    </row>
    <row r="10" spans="1:1">
      <c r="A10" t="s">
        <v>5334</v>
      </c>
    </row>
    <row r="11" spans="1:1">
      <c r="A11" t="s">
        <v>5335</v>
      </c>
    </row>
    <row r="12" spans="1:1">
      <c r="A12" t="s">
        <v>5336</v>
      </c>
    </row>
    <row r="13" spans="1:1">
      <c r="A13" t="s">
        <v>5337</v>
      </c>
    </row>
    <row r="14" spans="1:1">
      <c r="A14" t="s">
        <v>5338</v>
      </c>
    </row>
    <row r="15" spans="1:1">
      <c r="A15" t="s">
        <v>5339</v>
      </c>
    </row>
    <row r="16" spans="1:1">
      <c r="A16" t="s">
        <v>5340</v>
      </c>
    </row>
    <row r="17" spans="1:1">
      <c r="A17" t="s">
        <v>5341</v>
      </c>
    </row>
    <row r="18" spans="1:1">
      <c r="A18" t="s">
        <v>5342</v>
      </c>
    </row>
    <row r="19" spans="1:1">
      <c r="A19" t="s">
        <v>5343</v>
      </c>
    </row>
    <row r="20" spans="1:1">
      <c r="A20" t="s">
        <v>5344</v>
      </c>
    </row>
    <row r="21" spans="1:1">
      <c r="A21" t="s">
        <v>5345</v>
      </c>
    </row>
    <row r="22" spans="1:1">
      <c r="A22" t="s">
        <v>5346</v>
      </c>
    </row>
    <row r="23" spans="1:1">
      <c r="A23" t="s">
        <v>5347</v>
      </c>
    </row>
    <row r="24" spans="1:1">
      <c r="A24" t="s">
        <v>5348</v>
      </c>
    </row>
    <row r="25" spans="1:1">
      <c r="A25" t="s">
        <v>5349</v>
      </c>
    </row>
    <row r="26" spans="1:1">
      <c r="A26" t="s">
        <v>5350</v>
      </c>
    </row>
    <row r="27" spans="1:1">
      <c r="A27" t="s">
        <v>5351</v>
      </c>
    </row>
    <row r="28" spans="1:1">
      <c r="A28" t="s">
        <v>5352</v>
      </c>
    </row>
    <row r="29" spans="1:1">
      <c r="A29" t="s">
        <v>5353</v>
      </c>
    </row>
    <row r="30" spans="1:1">
      <c r="A30" t="s">
        <v>5354</v>
      </c>
    </row>
    <row r="31" spans="1:1">
      <c r="A31" t="s">
        <v>5355</v>
      </c>
    </row>
    <row r="32" spans="1:1">
      <c r="A32" t="s">
        <v>5356</v>
      </c>
    </row>
    <row r="33" spans="1:1">
      <c r="A33" t="s">
        <v>5357</v>
      </c>
    </row>
    <row r="34" spans="1:1">
      <c r="A34" t="s">
        <v>5358</v>
      </c>
    </row>
    <row r="35" spans="1:1">
      <c r="A35" t="s">
        <v>5359</v>
      </c>
    </row>
    <row r="36" spans="1:1">
      <c r="A36" t="s">
        <v>5360</v>
      </c>
    </row>
    <row r="37" spans="1:1">
      <c r="A37" t="s">
        <v>5361</v>
      </c>
    </row>
    <row r="38" spans="1:1">
      <c r="A38" t="s">
        <v>5362</v>
      </c>
    </row>
    <row r="39" spans="1:1">
      <c r="A39" t="s">
        <v>5363</v>
      </c>
    </row>
    <row r="40" spans="1:1">
      <c r="A40" t="s">
        <v>5364</v>
      </c>
    </row>
    <row r="41" spans="1:1">
      <c r="A41" t="s">
        <v>5365</v>
      </c>
    </row>
    <row r="42" spans="1:1">
      <c r="A42" t="s">
        <v>5366</v>
      </c>
    </row>
    <row r="43" spans="1:1">
      <c r="A43" t="s">
        <v>5367</v>
      </c>
    </row>
    <row r="44" spans="1:1">
      <c r="A44" t="s">
        <v>5368</v>
      </c>
    </row>
    <row r="45" spans="1:1">
      <c r="A45" t="s">
        <v>5367</v>
      </c>
    </row>
    <row r="46" spans="1:1">
      <c r="A46" t="s">
        <v>5369</v>
      </c>
    </row>
    <row r="47" spans="1:1">
      <c r="A47" t="s">
        <v>5370</v>
      </c>
    </row>
    <row r="48" spans="1:1">
      <c r="A48" t="s">
        <v>5371</v>
      </c>
    </row>
    <row r="49" spans="1:1">
      <c r="A49" t="s">
        <v>5372</v>
      </c>
    </row>
    <row r="50" spans="1:1">
      <c r="A50" t="s">
        <v>5373</v>
      </c>
    </row>
    <row r="51" spans="1:1">
      <c r="A51" t="s">
        <v>5374</v>
      </c>
    </row>
    <row r="52" spans="1:1">
      <c r="A52" t="s">
        <v>5375</v>
      </c>
    </row>
    <row r="53" spans="1:1">
      <c r="A53" t="s">
        <v>5376</v>
      </c>
    </row>
    <row r="54" spans="1:1">
      <c r="A54" t="s">
        <v>5377</v>
      </c>
    </row>
    <row r="55" spans="1:1">
      <c r="A55" t="s">
        <v>5378</v>
      </c>
    </row>
    <row r="56" spans="1:1">
      <c r="A56" t="s">
        <v>5379</v>
      </c>
    </row>
    <row r="57" spans="1:1">
      <c r="A57" t="s">
        <v>5380</v>
      </c>
    </row>
    <row r="58" spans="1:1">
      <c r="A58" t="s">
        <v>5381</v>
      </c>
    </row>
    <row r="59" spans="1:1">
      <c r="A59" t="s">
        <v>5382</v>
      </c>
    </row>
    <row r="60" spans="1:1">
      <c r="A60" t="s">
        <v>5383</v>
      </c>
    </row>
    <row r="61" spans="1:1">
      <c r="A61" t="s">
        <v>5384</v>
      </c>
    </row>
    <row r="62" spans="1:1">
      <c r="A62" t="s">
        <v>5385</v>
      </c>
    </row>
    <row r="63" spans="1:1">
      <c r="A63" t="s">
        <v>5386</v>
      </c>
    </row>
    <row r="64" spans="1:1">
      <c r="A64" t="s">
        <v>5387</v>
      </c>
    </row>
    <row r="65" spans="1:1">
      <c r="A65" t="s">
        <v>5388</v>
      </c>
    </row>
    <row r="66" spans="1:1">
      <c r="A66" t="s">
        <v>5389</v>
      </c>
    </row>
    <row r="67" spans="1:1">
      <c r="A67" t="s">
        <v>5390</v>
      </c>
    </row>
    <row r="68" spans="1:1">
      <c r="A68" t="s">
        <v>5391</v>
      </c>
    </row>
    <row r="69" spans="1:1">
      <c r="A69" t="s">
        <v>5392</v>
      </c>
    </row>
    <row r="70" spans="1:1">
      <c r="A70" t="s">
        <v>5393</v>
      </c>
    </row>
    <row r="71" spans="1:1">
      <c r="A71" t="s">
        <v>5394</v>
      </c>
    </row>
    <row r="72" spans="1:1">
      <c r="A72" t="s">
        <v>5395</v>
      </c>
    </row>
    <row r="73" spans="1:1">
      <c r="A73" t="s">
        <v>5396</v>
      </c>
    </row>
    <row r="74" spans="1:1">
      <c r="A74" t="s">
        <v>5367</v>
      </c>
    </row>
    <row r="75" spans="1:1">
      <c r="A75" t="s">
        <v>5397</v>
      </c>
    </row>
    <row r="76" spans="1:1">
      <c r="A76" t="s">
        <v>5367</v>
      </c>
    </row>
    <row r="77" spans="1:1">
      <c r="A77" t="s">
        <v>5398</v>
      </c>
    </row>
    <row r="78" spans="1:1">
      <c r="A78" t="s">
        <v>5399</v>
      </c>
    </row>
    <row r="79" spans="1:1">
      <c r="A79" t="s">
        <v>5400</v>
      </c>
    </row>
    <row r="80" spans="1:1">
      <c r="A80" t="s">
        <v>5401</v>
      </c>
    </row>
    <row r="81" spans="1:1">
      <c r="A81" t="s">
        <v>5402</v>
      </c>
    </row>
    <row r="82" spans="1:1">
      <c r="A82" t="s">
        <v>5403</v>
      </c>
    </row>
    <row r="83" spans="1:1">
      <c r="A83" t="s">
        <v>5404</v>
      </c>
    </row>
    <row r="84" spans="1:1">
      <c r="A84" t="s">
        <v>5405</v>
      </c>
    </row>
    <row r="85" spans="1:1">
      <c r="A85" t="s">
        <v>5406</v>
      </c>
    </row>
    <row r="86" spans="1:1">
      <c r="A86" t="s">
        <v>5407</v>
      </c>
    </row>
    <row r="87" spans="1:1">
      <c r="A87" t="s">
        <v>5408</v>
      </c>
    </row>
    <row r="88" spans="1:1">
      <c r="A88" t="s">
        <v>5409</v>
      </c>
    </row>
    <row r="89" spans="1:1">
      <c r="A89" t="s">
        <v>5410</v>
      </c>
    </row>
    <row r="90" spans="1:1">
      <c r="A90" t="s">
        <v>5411</v>
      </c>
    </row>
    <row r="91" spans="1:1">
      <c r="A91" t="s">
        <v>5412</v>
      </c>
    </row>
    <row r="92" spans="1:1">
      <c r="A92" t="s">
        <v>5413</v>
      </c>
    </row>
    <row r="93" spans="1:1">
      <c r="A93" t="s">
        <v>5414</v>
      </c>
    </row>
    <row r="94" spans="1:1">
      <c r="A94" t="s">
        <v>5415</v>
      </c>
    </row>
    <row r="95" spans="1:1">
      <c r="A95" t="s">
        <v>5416</v>
      </c>
    </row>
    <row r="96" spans="1:1">
      <c r="A96" t="s">
        <v>5417</v>
      </c>
    </row>
    <row r="97" spans="1:1">
      <c r="A97" t="s">
        <v>5418</v>
      </c>
    </row>
    <row r="98" spans="1:1">
      <c r="A98" t="s">
        <v>5419</v>
      </c>
    </row>
    <row r="99" spans="1:1">
      <c r="A99" t="s">
        <v>5420</v>
      </c>
    </row>
    <row r="100" spans="1:1">
      <c r="A100" t="s">
        <v>5421</v>
      </c>
    </row>
    <row r="101" spans="1:1">
      <c r="A101" t="s">
        <v>5422</v>
      </c>
    </row>
    <row r="102" spans="1:1">
      <c r="A102" t="s">
        <v>5423</v>
      </c>
    </row>
    <row r="103" spans="1:1">
      <c r="A103" t="s">
        <v>5424</v>
      </c>
    </row>
    <row r="104" spans="1:1">
      <c r="A104" t="s">
        <v>5425</v>
      </c>
    </row>
    <row r="105" spans="1:1">
      <c r="A105" t="s">
        <v>5426</v>
      </c>
    </row>
    <row r="106" spans="1:1">
      <c r="A106" t="s">
        <v>5427</v>
      </c>
    </row>
    <row r="107" spans="1:1">
      <c r="A107" t="s">
        <v>5428</v>
      </c>
    </row>
    <row r="108" spans="1:1">
      <c r="A108" t="s">
        <v>5429</v>
      </c>
    </row>
    <row r="109" spans="1:1">
      <c r="A109" t="s">
        <v>5430</v>
      </c>
    </row>
    <row r="110" spans="1:1">
      <c r="A110" t="s">
        <v>5431</v>
      </c>
    </row>
    <row r="111" spans="1:1">
      <c r="A111" t="s">
        <v>5432</v>
      </c>
    </row>
    <row r="112" spans="1:1">
      <c r="A112" t="s">
        <v>5433</v>
      </c>
    </row>
    <row r="113" spans="1:1">
      <c r="A113" t="s">
        <v>5434</v>
      </c>
    </row>
    <row r="114" spans="1:1">
      <c r="A114" t="s">
        <v>5435</v>
      </c>
    </row>
    <row r="115" spans="1:1">
      <c r="A115" t="s">
        <v>5436</v>
      </c>
    </row>
    <row r="116" spans="1:1">
      <c r="A116" t="s">
        <v>5437</v>
      </c>
    </row>
    <row r="117" spans="1:1">
      <c r="A117" t="s">
        <v>5438</v>
      </c>
    </row>
    <row r="118" spans="1:1">
      <c r="A118" t="s">
        <v>5439</v>
      </c>
    </row>
    <row r="119" spans="1:1">
      <c r="A119" t="s">
        <v>5440</v>
      </c>
    </row>
    <row r="120" spans="1:1">
      <c r="A120" t="s">
        <v>5441</v>
      </c>
    </row>
    <row r="121" spans="1:1">
      <c r="A121" t="s">
        <v>5442</v>
      </c>
    </row>
    <row r="122" spans="1:1">
      <c r="A122" t="s">
        <v>5443</v>
      </c>
    </row>
    <row r="123" spans="1:1">
      <c r="A123" t="s">
        <v>5444</v>
      </c>
    </row>
    <row r="124" spans="1:1">
      <c r="A124" t="s">
        <v>5445</v>
      </c>
    </row>
    <row r="125" spans="1:1">
      <c r="A125" t="s">
        <v>5446</v>
      </c>
    </row>
    <row r="126" spans="1:1">
      <c r="A126" t="s">
        <v>5447</v>
      </c>
    </row>
    <row r="127" spans="1:1">
      <c r="A127" t="s">
        <v>5448</v>
      </c>
    </row>
    <row r="128" spans="1:1">
      <c r="A128" t="s">
        <v>5449</v>
      </c>
    </row>
    <row r="129" spans="1:1">
      <c r="A129" t="s">
        <v>5450</v>
      </c>
    </row>
    <row r="130" spans="1:1">
      <c r="A130" t="s">
        <v>5451</v>
      </c>
    </row>
    <row r="131" spans="1:1">
      <c r="A131" t="s">
        <v>5452</v>
      </c>
    </row>
    <row r="132" spans="1:1">
      <c r="A132" t="s">
        <v>5453</v>
      </c>
    </row>
    <row r="133" spans="1:1">
      <c r="A133" t="s">
        <v>5454</v>
      </c>
    </row>
    <row r="134" spans="1:1">
      <c r="A134" t="s">
        <v>5455</v>
      </c>
    </row>
    <row r="135" spans="1:1">
      <c r="A135" t="s">
        <v>5456</v>
      </c>
    </row>
    <row r="136" spans="1:1">
      <c r="A136" t="s">
        <v>5457</v>
      </c>
    </row>
    <row r="137" spans="1:1">
      <c r="A137" t="s">
        <v>5458</v>
      </c>
    </row>
    <row r="138" spans="1:1">
      <c r="A138" t="s">
        <v>5459</v>
      </c>
    </row>
    <row r="139" spans="1:1">
      <c r="A139" t="s">
        <v>5460</v>
      </c>
    </row>
    <row r="140" spans="1:1">
      <c r="A140" t="s">
        <v>5461</v>
      </c>
    </row>
    <row r="141" spans="1:1">
      <c r="A141" t="s">
        <v>5462</v>
      </c>
    </row>
    <row r="142" spans="1:1">
      <c r="A142" t="s">
        <v>5463</v>
      </c>
    </row>
    <row r="143" spans="1:1">
      <c r="A143" t="s">
        <v>5464</v>
      </c>
    </row>
    <row r="144" spans="1:1">
      <c r="A144" t="s">
        <v>5465</v>
      </c>
    </row>
    <row r="145" spans="1:1">
      <c r="A145" t="s">
        <v>5466</v>
      </c>
    </row>
    <row r="146" spans="1:1">
      <c r="A146" t="s">
        <v>5467</v>
      </c>
    </row>
    <row r="147" spans="1:1">
      <c r="A147" t="s">
        <v>5468</v>
      </c>
    </row>
    <row r="148" spans="1:1">
      <c r="A148" t="s">
        <v>5469</v>
      </c>
    </row>
    <row r="149" spans="1:1">
      <c r="A149" t="s">
        <v>5470</v>
      </c>
    </row>
    <row r="150" spans="1:1">
      <c r="A150" t="s">
        <v>5471</v>
      </c>
    </row>
    <row r="151" spans="1:1">
      <c r="A151" t="s">
        <v>5472</v>
      </c>
    </row>
    <row r="152" spans="1:1">
      <c r="A152" t="s">
        <v>5473</v>
      </c>
    </row>
    <row r="153" spans="1:1">
      <c r="A153" t="s">
        <v>5474</v>
      </c>
    </row>
    <row r="154" spans="1:1">
      <c r="A154" t="s">
        <v>5475</v>
      </c>
    </row>
    <row r="155" spans="1:1">
      <c r="A155" t="s">
        <v>5476</v>
      </c>
    </row>
    <row r="156" spans="1:1">
      <c r="A156" t="s">
        <v>5477</v>
      </c>
    </row>
    <row r="157" spans="1:1">
      <c r="A157" t="s">
        <v>5478</v>
      </c>
    </row>
    <row r="158" spans="1:1">
      <c r="A158" t="s">
        <v>5479</v>
      </c>
    </row>
    <row r="159" spans="1:1">
      <c r="A159" t="s">
        <v>5480</v>
      </c>
    </row>
    <row r="160" spans="1:1">
      <c r="A160" t="s">
        <v>5481</v>
      </c>
    </row>
    <row r="161" spans="1:1">
      <c r="A161" t="s">
        <v>5482</v>
      </c>
    </row>
    <row r="162" spans="1:1">
      <c r="A162" t="s">
        <v>5483</v>
      </c>
    </row>
    <row r="163" spans="1:1">
      <c r="A163" t="s">
        <v>5484</v>
      </c>
    </row>
    <row r="164" spans="1:1">
      <c r="A164" t="s">
        <v>5485</v>
      </c>
    </row>
    <row r="165" spans="1:1">
      <c r="A165" t="s">
        <v>5486</v>
      </c>
    </row>
    <row r="166" spans="1:1">
      <c r="A166" t="s">
        <v>5487</v>
      </c>
    </row>
    <row r="167" spans="1:1">
      <c r="A167" t="s">
        <v>5488</v>
      </c>
    </row>
    <row r="168" spans="1:1">
      <c r="A168" t="s">
        <v>5489</v>
      </c>
    </row>
    <row r="169" spans="1:1">
      <c r="A169" t="s">
        <v>5490</v>
      </c>
    </row>
    <row r="170" spans="1:1">
      <c r="A170" t="s">
        <v>5491</v>
      </c>
    </row>
    <row r="171" spans="1:1">
      <c r="A171" t="s">
        <v>5492</v>
      </c>
    </row>
    <row r="172" spans="1:1">
      <c r="A172" t="s">
        <v>5493</v>
      </c>
    </row>
    <row r="173" spans="1:1">
      <c r="A173" t="s">
        <v>5494</v>
      </c>
    </row>
    <row r="174" spans="1:1">
      <c r="A174" t="s">
        <v>5495</v>
      </c>
    </row>
    <row r="175" spans="1:1">
      <c r="A175" t="s">
        <v>5496</v>
      </c>
    </row>
    <row r="176" spans="1:1">
      <c r="A176" t="s">
        <v>5497</v>
      </c>
    </row>
    <row r="177" spans="1:1">
      <c r="A177" t="s">
        <v>5498</v>
      </c>
    </row>
    <row r="178" spans="1:1">
      <c r="A178" t="s">
        <v>5499</v>
      </c>
    </row>
    <row r="179" spans="1:1">
      <c r="A179" t="s">
        <v>5500</v>
      </c>
    </row>
    <row r="180" spans="1:1">
      <c r="A180" t="s">
        <v>5501</v>
      </c>
    </row>
    <row r="181" spans="1:1">
      <c r="A181" t="s">
        <v>5502</v>
      </c>
    </row>
    <row r="182" spans="1:1">
      <c r="A182" t="s">
        <v>5503</v>
      </c>
    </row>
    <row r="183" spans="1:1">
      <c r="A183" t="s">
        <v>5504</v>
      </c>
    </row>
    <row r="184" spans="1:1">
      <c r="A184" t="s">
        <v>5505</v>
      </c>
    </row>
    <row r="185" spans="1:1">
      <c r="A185" t="s">
        <v>5506</v>
      </c>
    </row>
    <row r="186" spans="1:1">
      <c r="A186" t="s">
        <v>5507</v>
      </c>
    </row>
    <row r="187" spans="1:1">
      <c r="A187" t="s">
        <v>5508</v>
      </c>
    </row>
    <row r="188" spans="1:1">
      <c r="A188" t="s">
        <v>5509</v>
      </c>
    </row>
    <row r="189" spans="1:1">
      <c r="A189" t="s">
        <v>5510</v>
      </c>
    </row>
    <row r="190" spans="1:1">
      <c r="A190" t="s">
        <v>5511</v>
      </c>
    </row>
    <row r="191" spans="1:1">
      <c r="A191" t="s">
        <v>5512</v>
      </c>
    </row>
    <row r="192" spans="1:1">
      <c r="A192" t="s">
        <v>5513</v>
      </c>
    </row>
    <row r="193" spans="1:1">
      <c r="A193" t="s">
        <v>5514</v>
      </c>
    </row>
    <row r="194" spans="1:1">
      <c r="A194" t="s">
        <v>5515</v>
      </c>
    </row>
    <row r="195" spans="1:1">
      <c r="A195" t="s">
        <v>5516</v>
      </c>
    </row>
    <row r="196" spans="1:1">
      <c r="A196" t="s">
        <v>5517</v>
      </c>
    </row>
    <row r="197" spans="1:1">
      <c r="A197" t="s">
        <v>5518</v>
      </c>
    </row>
    <row r="198" spans="1:1">
      <c r="A198" t="s">
        <v>5519</v>
      </c>
    </row>
    <row r="199" spans="1:1">
      <c r="A199" t="s">
        <v>5520</v>
      </c>
    </row>
    <row r="200" spans="1:1">
      <c r="A200" t="s">
        <v>5521</v>
      </c>
    </row>
    <row r="201" spans="1:1">
      <c r="A201" t="s">
        <v>5522</v>
      </c>
    </row>
    <row r="202" spans="1:1">
      <c r="A202" t="s">
        <v>5523</v>
      </c>
    </row>
    <row r="203" spans="1:1">
      <c r="A203" t="s">
        <v>5524</v>
      </c>
    </row>
    <row r="204" spans="1:1">
      <c r="A204" t="s">
        <v>5525</v>
      </c>
    </row>
    <row r="205" spans="1:1">
      <c r="A205" t="s">
        <v>5526</v>
      </c>
    </row>
    <row r="206" spans="1:1">
      <c r="A206" t="s">
        <v>5527</v>
      </c>
    </row>
    <row r="207" spans="1:1">
      <c r="A207" t="s">
        <v>5528</v>
      </c>
    </row>
    <row r="208" spans="1:1">
      <c r="A208" t="s">
        <v>5529</v>
      </c>
    </row>
    <row r="209" spans="1:1">
      <c r="A209" t="s">
        <v>5530</v>
      </c>
    </row>
    <row r="210" spans="1:1">
      <c r="A210" t="s">
        <v>5531</v>
      </c>
    </row>
    <row r="211" spans="1:1">
      <c r="A211" t="s">
        <v>5532</v>
      </c>
    </row>
    <row r="212" spans="1:1">
      <c r="A212" t="s">
        <v>5533</v>
      </c>
    </row>
    <row r="213" spans="1:1">
      <c r="A213" t="s">
        <v>5534</v>
      </c>
    </row>
    <row r="214" spans="1:1">
      <c r="A214" t="s">
        <v>5535</v>
      </c>
    </row>
    <row r="215" spans="1:1">
      <c r="A215" t="s">
        <v>5536</v>
      </c>
    </row>
    <row r="216" spans="1:1">
      <c r="A216" t="s">
        <v>5537</v>
      </c>
    </row>
    <row r="217" spans="1:1">
      <c r="A217" t="s">
        <v>5538</v>
      </c>
    </row>
    <row r="218" spans="1:1">
      <c r="A218" t="s">
        <v>5539</v>
      </c>
    </row>
    <row r="219" spans="1:1">
      <c r="A219" t="s">
        <v>5540</v>
      </c>
    </row>
    <row r="220" spans="1:1">
      <c r="A220" t="s">
        <v>5541</v>
      </c>
    </row>
    <row r="221" spans="1:1">
      <c r="A221" t="s">
        <v>5542</v>
      </c>
    </row>
    <row r="222" spans="1:1">
      <c r="A222" t="s">
        <v>5543</v>
      </c>
    </row>
    <row r="223" spans="1:1">
      <c r="A223" t="s">
        <v>5544</v>
      </c>
    </row>
    <row r="224" spans="1:1">
      <c r="A224" t="s">
        <v>5545</v>
      </c>
    </row>
    <row r="225" spans="1:1">
      <c r="A225" t="s">
        <v>5546</v>
      </c>
    </row>
    <row r="226" spans="1:1">
      <c r="A226" t="s">
        <v>5547</v>
      </c>
    </row>
    <row r="227" spans="1:1">
      <c r="A227" t="s">
        <v>5548</v>
      </c>
    </row>
    <row r="228" spans="1:1">
      <c r="A228" t="s">
        <v>5549</v>
      </c>
    </row>
    <row r="229" spans="1:1">
      <c r="A229" t="s">
        <v>5550</v>
      </c>
    </row>
    <row r="230" spans="1:1">
      <c r="A230" t="s">
        <v>5551</v>
      </c>
    </row>
    <row r="231" spans="1:1">
      <c r="A231" t="s">
        <v>5552</v>
      </c>
    </row>
    <row r="232" spans="1:1">
      <c r="A232" t="s">
        <v>5553</v>
      </c>
    </row>
    <row r="233" spans="1:1">
      <c r="A233" t="s">
        <v>5554</v>
      </c>
    </row>
    <row r="234" spans="1:1">
      <c r="A234" t="s">
        <v>5555</v>
      </c>
    </row>
    <row r="235" spans="1:1">
      <c r="A235" t="s">
        <v>5556</v>
      </c>
    </row>
    <row r="236" spans="1:1">
      <c r="A236" t="s">
        <v>5557</v>
      </c>
    </row>
    <row r="237" spans="1:1">
      <c r="A237" t="s">
        <v>5558</v>
      </c>
    </row>
    <row r="238" spans="1:1">
      <c r="A238" t="s">
        <v>5559</v>
      </c>
    </row>
    <row r="239" spans="1:1">
      <c r="A239" t="s">
        <v>5560</v>
      </c>
    </row>
    <row r="240" spans="1:1">
      <c r="A240" t="s">
        <v>5561</v>
      </c>
    </row>
    <row r="241" spans="1:1">
      <c r="A241" t="s">
        <v>5562</v>
      </c>
    </row>
    <row r="242" spans="1:1">
      <c r="A242" t="s">
        <v>5563</v>
      </c>
    </row>
    <row r="243" spans="1:1">
      <c r="A243" t="s">
        <v>5564</v>
      </c>
    </row>
    <row r="244" spans="1:1">
      <c r="A244" t="s">
        <v>5565</v>
      </c>
    </row>
    <row r="245" spans="1:1">
      <c r="A245" t="s">
        <v>5566</v>
      </c>
    </row>
    <row r="246" spans="1:1">
      <c r="A246" t="s">
        <v>5567</v>
      </c>
    </row>
    <row r="247" spans="1:1">
      <c r="A247" t="s">
        <v>5568</v>
      </c>
    </row>
    <row r="248" spans="1:1">
      <c r="A248" t="s">
        <v>5569</v>
      </c>
    </row>
    <row r="249" spans="1:1">
      <c r="A249" t="s">
        <v>5570</v>
      </c>
    </row>
    <row r="250" spans="1:1">
      <c r="A250" t="s">
        <v>5571</v>
      </c>
    </row>
    <row r="251" spans="1:1">
      <c r="A251" t="s">
        <v>5572</v>
      </c>
    </row>
    <row r="252" spans="1:1">
      <c r="A252" t="s">
        <v>5573</v>
      </c>
    </row>
    <row r="253" spans="1:1">
      <c r="A253" t="s">
        <v>5574</v>
      </c>
    </row>
    <row r="254" spans="1:1">
      <c r="A254" t="s">
        <v>5575</v>
      </c>
    </row>
    <row r="255" spans="1:1">
      <c r="A255" t="s">
        <v>5576</v>
      </c>
    </row>
    <row r="256" spans="1:1">
      <c r="A256" t="s">
        <v>5577</v>
      </c>
    </row>
    <row r="257" spans="1:1">
      <c r="A257" t="s">
        <v>5578</v>
      </c>
    </row>
    <row r="258" spans="1:1">
      <c r="A258" t="s">
        <v>5579</v>
      </c>
    </row>
    <row r="259" spans="1:1">
      <c r="A259" t="s">
        <v>5580</v>
      </c>
    </row>
    <row r="260" spans="1:1">
      <c r="A260" t="s">
        <v>5581</v>
      </c>
    </row>
    <row r="261" spans="1:1">
      <c r="A261" t="s">
        <v>5582</v>
      </c>
    </row>
    <row r="262" spans="1:1">
      <c r="A262" t="s">
        <v>5583</v>
      </c>
    </row>
    <row r="263" spans="1:1">
      <c r="A263" t="s">
        <v>5584</v>
      </c>
    </row>
    <row r="264" spans="1:1">
      <c r="A264" t="s">
        <v>5585</v>
      </c>
    </row>
    <row r="265" spans="1:1">
      <c r="A265" t="s">
        <v>5586</v>
      </c>
    </row>
    <row r="266" spans="1:1">
      <c r="A266" t="s">
        <v>5587</v>
      </c>
    </row>
    <row r="267" spans="1:1">
      <c r="A267" t="s">
        <v>5588</v>
      </c>
    </row>
    <row r="268" spans="1:1">
      <c r="A268" t="s">
        <v>5589</v>
      </c>
    </row>
    <row r="269" spans="1:1">
      <c r="A269" t="s">
        <v>5590</v>
      </c>
    </row>
    <row r="270" spans="1:1">
      <c r="A270" t="s">
        <v>5591</v>
      </c>
    </row>
    <row r="271" spans="1:1">
      <c r="A271" t="s">
        <v>5592</v>
      </c>
    </row>
    <row r="272" spans="1:1">
      <c r="A272" t="s">
        <v>5593</v>
      </c>
    </row>
    <row r="273" spans="1:1">
      <c r="A273" t="s">
        <v>5594</v>
      </c>
    </row>
    <row r="274" spans="1:1">
      <c r="A274" t="s">
        <v>5595</v>
      </c>
    </row>
    <row r="275" spans="1:1">
      <c r="A275" t="s">
        <v>5596</v>
      </c>
    </row>
    <row r="276" spans="1:1">
      <c r="A276" t="s">
        <v>5597</v>
      </c>
    </row>
    <row r="277" spans="1:1">
      <c r="A277" t="s">
        <v>5598</v>
      </c>
    </row>
    <row r="278" spans="1:1">
      <c r="A278" t="s">
        <v>5599</v>
      </c>
    </row>
    <row r="279" spans="1:1">
      <c r="A279" t="s">
        <v>5600</v>
      </c>
    </row>
    <row r="280" spans="1:1">
      <c r="A280" t="s">
        <v>5601</v>
      </c>
    </row>
    <row r="281" spans="1:1">
      <c r="A281" t="s">
        <v>5602</v>
      </c>
    </row>
    <row r="282" spans="1:1">
      <c r="A282" t="s">
        <v>5603</v>
      </c>
    </row>
    <row r="283" spans="1:1">
      <c r="A283" t="s">
        <v>5604</v>
      </c>
    </row>
    <row r="284" spans="1:1">
      <c r="A284" t="s">
        <v>5605</v>
      </c>
    </row>
    <row r="285" spans="1:1">
      <c r="A285" t="s">
        <v>5606</v>
      </c>
    </row>
    <row r="286" spans="1:1">
      <c r="A286" t="s">
        <v>5607</v>
      </c>
    </row>
    <row r="287" spans="1:1">
      <c r="A287" t="s">
        <v>5608</v>
      </c>
    </row>
    <row r="288" spans="1:1">
      <c r="A288" t="s">
        <v>5609</v>
      </c>
    </row>
    <row r="289" spans="1:1">
      <c r="A289" t="s">
        <v>5610</v>
      </c>
    </row>
    <row r="290" spans="1:1">
      <c r="A290" t="s">
        <v>5611</v>
      </c>
    </row>
    <row r="291" spans="1:1">
      <c r="A291" t="s">
        <v>5612</v>
      </c>
    </row>
    <row r="292" spans="1:1">
      <c r="A292" t="s">
        <v>5613</v>
      </c>
    </row>
    <row r="293" spans="1:1">
      <c r="A293" t="s">
        <v>5614</v>
      </c>
    </row>
    <row r="294" spans="1:1">
      <c r="A294" t="s">
        <v>5615</v>
      </c>
    </row>
    <row r="295" spans="1:1">
      <c r="A295" t="s">
        <v>5616</v>
      </c>
    </row>
    <row r="296" spans="1:1" ht="16.5">
      <c r="A296" t="s">
        <v>5617</v>
      </c>
    </row>
    <row r="297" spans="1:1">
      <c r="A297" t="s">
        <v>5618</v>
      </c>
    </row>
    <row r="298" spans="1:1">
      <c r="A298" t="s">
        <v>5619</v>
      </c>
    </row>
    <row r="299" spans="1:1">
      <c r="A299" t="s">
        <v>5620</v>
      </c>
    </row>
    <row r="300" spans="1:1">
      <c r="A300" t="s">
        <v>5621</v>
      </c>
    </row>
    <row r="301" spans="1:1">
      <c r="A301" t="s">
        <v>5622</v>
      </c>
    </row>
    <row r="302" spans="1:1">
      <c r="A302" t="s">
        <v>5623</v>
      </c>
    </row>
    <row r="303" spans="1:1">
      <c r="A303" t="s">
        <v>5624</v>
      </c>
    </row>
    <row r="304" spans="1:1">
      <c r="A304" t="s">
        <v>5625</v>
      </c>
    </row>
    <row r="305" spans="1:1">
      <c r="A305" t="s">
        <v>5626</v>
      </c>
    </row>
    <row r="306" spans="1:1">
      <c r="A306" t="s">
        <v>5627</v>
      </c>
    </row>
    <row r="307" spans="1:1">
      <c r="A307" t="s">
        <v>5628</v>
      </c>
    </row>
    <row r="308" spans="1:1">
      <c r="A308" t="s">
        <v>5629</v>
      </c>
    </row>
    <row r="309" spans="1:1">
      <c r="A309" t="s">
        <v>5630</v>
      </c>
    </row>
    <row r="310" spans="1:1">
      <c r="A310" t="s">
        <v>5631</v>
      </c>
    </row>
    <row r="311" spans="1:1">
      <c r="A311" t="s">
        <v>5632</v>
      </c>
    </row>
    <row r="312" spans="1:1">
      <c r="A312" t="s">
        <v>5633</v>
      </c>
    </row>
    <row r="313" spans="1:1">
      <c r="A313" t="s">
        <v>5634</v>
      </c>
    </row>
    <row r="314" spans="1:1">
      <c r="A314" t="s">
        <v>5635</v>
      </c>
    </row>
    <row r="315" spans="1:1">
      <c r="A315" t="s">
        <v>5636</v>
      </c>
    </row>
    <row r="316" spans="1:1">
      <c r="A316" t="s">
        <v>5637</v>
      </c>
    </row>
    <row r="317" spans="1:1">
      <c r="A317" t="s">
        <v>5638</v>
      </c>
    </row>
    <row r="318" spans="1:1">
      <c r="A318" t="s">
        <v>5639</v>
      </c>
    </row>
    <row r="319" spans="1:1">
      <c r="A319" t="s">
        <v>5640</v>
      </c>
    </row>
    <row r="320" spans="1:1">
      <c r="A320" t="s">
        <v>5641</v>
      </c>
    </row>
    <row r="321" spans="1:1">
      <c r="A321" t="s">
        <v>5642</v>
      </c>
    </row>
    <row r="322" spans="1:1">
      <c r="A322" t="s">
        <v>5643</v>
      </c>
    </row>
    <row r="323" spans="1:1">
      <c r="A323" t="s">
        <v>5644</v>
      </c>
    </row>
    <row r="324" spans="1:1">
      <c r="A324" t="s">
        <v>5645</v>
      </c>
    </row>
    <row r="325" spans="1:1">
      <c r="A325" t="s">
        <v>5646</v>
      </c>
    </row>
    <row r="326" spans="1:1">
      <c r="A326" t="s">
        <v>5647</v>
      </c>
    </row>
    <row r="327" spans="1:1">
      <c r="A327" t="s">
        <v>5648</v>
      </c>
    </row>
    <row r="328" spans="1:1">
      <c r="A328" t="s">
        <v>5649</v>
      </c>
    </row>
    <row r="329" spans="1:1">
      <c r="A329" t="s">
        <v>5650</v>
      </c>
    </row>
    <row r="330" spans="1:1">
      <c r="A330" t="s">
        <v>5651</v>
      </c>
    </row>
    <row r="331" spans="1:1">
      <c r="A331" t="s">
        <v>5652</v>
      </c>
    </row>
    <row r="332" spans="1:1">
      <c r="A332" t="s">
        <v>5653</v>
      </c>
    </row>
    <row r="333" spans="1:1">
      <c r="A333" t="s">
        <v>5654</v>
      </c>
    </row>
    <row r="334" spans="1:1">
      <c r="A334" t="s">
        <v>5655</v>
      </c>
    </row>
    <row r="335" spans="1:1">
      <c r="A335" t="s">
        <v>5656</v>
      </c>
    </row>
    <row r="336" spans="1:1">
      <c r="A336" t="s">
        <v>5657</v>
      </c>
    </row>
    <row r="337" spans="1:1">
      <c r="A337" t="s">
        <v>5658</v>
      </c>
    </row>
    <row r="338" spans="1:1">
      <c r="A338" t="s">
        <v>5659</v>
      </c>
    </row>
    <row r="339" spans="1:1">
      <c r="A339" t="s">
        <v>5660</v>
      </c>
    </row>
    <row r="340" spans="1:1">
      <c r="A340" t="s">
        <v>5661</v>
      </c>
    </row>
    <row r="341" spans="1:1">
      <c r="A341" t="s">
        <v>5662</v>
      </c>
    </row>
    <row r="342" spans="1:1">
      <c r="A342" t="s">
        <v>5663</v>
      </c>
    </row>
    <row r="343" spans="1:1">
      <c r="A343" t="s">
        <v>5664</v>
      </c>
    </row>
    <row r="344" spans="1:1">
      <c r="A344" t="s">
        <v>5665</v>
      </c>
    </row>
    <row r="345" spans="1:1">
      <c r="A345" t="s">
        <v>5666</v>
      </c>
    </row>
    <row r="346" spans="1:1">
      <c r="A346" t="s">
        <v>5667</v>
      </c>
    </row>
    <row r="347" spans="1:1">
      <c r="A347" t="s">
        <v>5668</v>
      </c>
    </row>
    <row r="348" spans="1:1">
      <c r="A348" t="s">
        <v>5669</v>
      </c>
    </row>
    <row r="349" spans="1:1">
      <c r="A349" t="s">
        <v>5670</v>
      </c>
    </row>
    <row r="350" spans="1:1">
      <c r="A350" t="s">
        <v>5671</v>
      </c>
    </row>
    <row r="351" spans="1:1">
      <c r="A351" t="s">
        <v>5672</v>
      </c>
    </row>
    <row r="352" spans="1:1">
      <c r="A352" t="s">
        <v>5673</v>
      </c>
    </row>
    <row r="353" spans="1:1">
      <c r="A353" t="s">
        <v>5674</v>
      </c>
    </row>
    <row r="354" spans="1:1">
      <c r="A354" t="s">
        <v>5675</v>
      </c>
    </row>
    <row r="355" spans="1:1">
      <c r="A355" t="s">
        <v>5676</v>
      </c>
    </row>
    <row r="356" spans="1:1">
      <c r="A356" t="s">
        <v>5677</v>
      </c>
    </row>
    <row r="357" spans="1:1">
      <c r="A357" t="s">
        <v>5678</v>
      </c>
    </row>
    <row r="358" spans="1:1">
      <c r="A358" t="s">
        <v>5679</v>
      </c>
    </row>
    <row r="359" spans="1:1">
      <c r="A359" t="s">
        <v>5680</v>
      </c>
    </row>
    <row r="360" spans="1:1">
      <c r="A360" t="s">
        <v>5681</v>
      </c>
    </row>
    <row r="361" spans="1:1">
      <c r="A361" t="s">
        <v>5682</v>
      </c>
    </row>
    <row r="362" spans="1:1">
      <c r="A362" t="s">
        <v>5683</v>
      </c>
    </row>
    <row r="363" spans="1:1">
      <c r="A363" t="s">
        <v>5684</v>
      </c>
    </row>
    <row r="364" spans="1:1">
      <c r="A364" t="s">
        <v>5685</v>
      </c>
    </row>
    <row r="365" spans="1:1">
      <c r="A365" t="s">
        <v>5686</v>
      </c>
    </row>
    <row r="366" spans="1:1">
      <c r="A366" t="s">
        <v>5687</v>
      </c>
    </row>
    <row r="367" spans="1:1">
      <c r="A367" t="s">
        <v>5688</v>
      </c>
    </row>
    <row r="368" spans="1:1">
      <c r="A368" t="s">
        <v>5689</v>
      </c>
    </row>
    <row r="369" spans="1:1">
      <c r="A369" t="s">
        <v>5690</v>
      </c>
    </row>
    <row r="370" spans="1:1">
      <c r="A370" t="s">
        <v>5691</v>
      </c>
    </row>
    <row r="371" spans="1:1">
      <c r="A371" t="s">
        <v>5692</v>
      </c>
    </row>
    <row r="372" spans="1:1">
      <c r="A372" t="s">
        <v>5693</v>
      </c>
    </row>
    <row r="373" spans="1:1">
      <c r="A373" t="s">
        <v>5694</v>
      </c>
    </row>
    <row r="374" spans="1:1">
      <c r="A374" t="s">
        <v>5695</v>
      </c>
    </row>
    <row r="375" spans="1:1">
      <c r="A375" t="s">
        <v>5696</v>
      </c>
    </row>
    <row r="376" spans="1:1">
      <c r="A376" t="s">
        <v>5697</v>
      </c>
    </row>
    <row r="377" spans="1:1">
      <c r="A377" t="s">
        <v>5698</v>
      </c>
    </row>
    <row r="378" spans="1:1">
      <c r="A378" t="s">
        <v>5699</v>
      </c>
    </row>
    <row r="379" spans="1:1">
      <c r="A379" t="s">
        <v>5367</v>
      </c>
    </row>
    <row r="381" spans="1:1">
      <c r="A381" t="s">
        <v>5700</v>
      </c>
    </row>
    <row r="383" spans="1:1">
      <c r="A383" t="s">
        <v>5367</v>
      </c>
    </row>
    <row r="384" spans="1:1">
      <c r="A384" t="s">
        <v>5701</v>
      </c>
    </row>
    <row r="385" spans="1:1">
      <c r="A385" t="s">
        <v>5702</v>
      </c>
    </row>
    <row r="386" spans="1:1">
      <c r="A386" t="s">
        <v>5703</v>
      </c>
    </row>
    <row r="387" spans="1:1">
      <c r="A387" t="s">
        <v>5704</v>
      </c>
    </row>
    <row r="388" spans="1:1">
      <c r="A388" t="s">
        <v>5705</v>
      </c>
    </row>
    <row r="389" spans="1:1">
      <c r="A389" t="s">
        <v>5706</v>
      </c>
    </row>
    <row r="391" spans="1:1" ht="16.5">
      <c r="A391" t="s">
        <v>5707</v>
      </c>
    </row>
    <row r="392" spans="1:1">
      <c r="A392" t="s">
        <v>5708</v>
      </c>
    </row>
    <row r="393" spans="1:1">
      <c r="A393" t="s">
        <v>5709</v>
      </c>
    </row>
    <row r="394" spans="1:1">
      <c r="A394" t="s">
        <v>5710</v>
      </c>
    </row>
    <row r="395" spans="1:1">
      <c r="A395" t="s">
        <v>5711</v>
      </c>
    </row>
    <row r="396" spans="1:1">
      <c r="A396" t="s">
        <v>5712</v>
      </c>
    </row>
    <row r="397" spans="1:1">
      <c r="A397" t="s">
        <v>5713</v>
      </c>
    </row>
    <row r="398" spans="1:1">
      <c r="A398" t="s">
        <v>5714</v>
      </c>
    </row>
    <row r="399" spans="1:1">
      <c r="A399" t="s">
        <v>5715</v>
      </c>
    </row>
    <row r="400" spans="1:1">
      <c r="A400" t="s">
        <v>5716</v>
      </c>
    </row>
    <row r="401" spans="1:1">
      <c r="A401" t="s">
        <v>5717</v>
      </c>
    </row>
    <row r="402" spans="1:1">
      <c r="A402" t="s">
        <v>5718</v>
      </c>
    </row>
    <row r="403" spans="1:1">
      <c r="A403" t="s">
        <v>5719</v>
      </c>
    </row>
    <row r="404" spans="1:1">
      <c r="A404" t="s">
        <v>5720</v>
      </c>
    </row>
    <row r="405" spans="1:1" ht="16.5">
      <c r="A405" t="s">
        <v>5721</v>
      </c>
    </row>
    <row r="406" spans="1:1" ht="16.5">
      <c r="A406" t="s">
        <v>5722</v>
      </c>
    </row>
    <row r="407" spans="1:1">
      <c r="A407" t="s">
        <v>5723</v>
      </c>
    </row>
    <row r="408" spans="1:1">
      <c r="A408" t="s">
        <v>5724</v>
      </c>
    </row>
    <row r="409" spans="1:1">
      <c r="A409" t="s">
        <v>5725</v>
      </c>
    </row>
    <row r="410" spans="1:1">
      <c r="A410" t="s">
        <v>5726</v>
      </c>
    </row>
    <row r="411" spans="1:1">
      <c r="A411" t="s">
        <v>5727</v>
      </c>
    </row>
    <row r="412" spans="1:1">
      <c r="A412" t="s">
        <v>5728</v>
      </c>
    </row>
    <row r="413" spans="1:1">
      <c r="A413" t="s">
        <v>5729</v>
      </c>
    </row>
    <row r="414" spans="1:1" ht="16.5">
      <c r="A414" t="s">
        <v>5730</v>
      </c>
    </row>
    <row r="415" spans="1:1" ht="16.5">
      <c r="A415" t="s">
        <v>5731</v>
      </c>
    </row>
    <row r="416" spans="1:1">
      <c r="A416" t="s">
        <v>5732</v>
      </c>
    </row>
    <row r="417" spans="1:1">
      <c r="A417" t="s">
        <v>5733</v>
      </c>
    </row>
    <row r="418" spans="1:1">
      <c r="A418" t="s">
        <v>5734</v>
      </c>
    </row>
    <row r="419" spans="1:1">
      <c r="A419" t="s">
        <v>5735</v>
      </c>
    </row>
    <row r="420" spans="1:1">
      <c r="A420" t="s">
        <v>5736</v>
      </c>
    </row>
    <row r="421" spans="1:1">
      <c r="A421" t="s">
        <v>5737</v>
      </c>
    </row>
    <row r="422" spans="1:1">
      <c r="A422" t="s">
        <v>5738</v>
      </c>
    </row>
    <row r="423" spans="1:1">
      <c r="A423" t="s">
        <v>5739</v>
      </c>
    </row>
    <row r="424" spans="1:1">
      <c r="A424" t="s">
        <v>5740</v>
      </c>
    </row>
    <row r="425" spans="1:1">
      <c r="A425" t="s">
        <v>5741</v>
      </c>
    </row>
    <row r="426" spans="1:1">
      <c r="A426" t="s">
        <v>5742</v>
      </c>
    </row>
    <row r="427" spans="1:1">
      <c r="A427" t="s">
        <v>5743</v>
      </c>
    </row>
    <row r="428" spans="1:1">
      <c r="A428" t="s">
        <v>5744</v>
      </c>
    </row>
    <row r="429" spans="1:1">
      <c r="A429" t="s">
        <v>5745</v>
      </c>
    </row>
    <row r="430" spans="1:1">
      <c r="A430" t="s">
        <v>5746</v>
      </c>
    </row>
    <row r="431" spans="1:1">
      <c r="A431" t="s">
        <v>5747</v>
      </c>
    </row>
    <row r="432" spans="1:1">
      <c r="A432" t="s">
        <v>5748</v>
      </c>
    </row>
    <row r="433" spans="1:1">
      <c r="A433" t="s">
        <v>5749</v>
      </c>
    </row>
    <row r="434" spans="1:1">
      <c r="A434" t="s">
        <v>5750</v>
      </c>
    </row>
    <row r="435" spans="1:1">
      <c r="A435" t="s">
        <v>5751</v>
      </c>
    </row>
    <row r="436" spans="1:1">
      <c r="A436" t="s">
        <v>5752</v>
      </c>
    </row>
    <row r="437" spans="1:1">
      <c r="A437" t="s">
        <v>5753</v>
      </c>
    </row>
    <row r="438" spans="1:1">
      <c r="A438" t="s">
        <v>5754</v>
      </c>
    </row>
    <row r="439" spans="1:1">
      <c r="A439" t="s">
        <v>5755</v>
      </c>
    </row>
    <row r="440" spans="1:1">
      <c r="A440" t="s">
        <v>5756</v>
      </c>
    </row>
    <row r="441" spans="1:1">
      <c r="A441" t="s">
        <v>5757</v>
      </c>
    </row>
    <row r="442" spans="1:1">
      <c r="A442" t="s">
        <v>5758</v>
      </c>
    </row>
    <row r="443" spans="1:1">
      <c r="A443" t="s">
        <v>5759</v>
      </c>
    </row>
    <row r="444" spans="1:1">
      <c r="A444" t="s">
        <v>5760</v>
      </c>
    </row>
    <row r="445" spans="1:1">
      <c r="A445" t="s">
        <v>5761</v>
      </c>
    </row>
    <row r="446" spans="1:1">
      <c r="A446" t="s">
        <v>5762</v>
      </c>
    </row>
    <row r="447" spans="1:1">
      <c r="A447" t="s">
        <v>5763</v>
      </c>
    </row>
    <row r="448" spans="1:1">
      <c r="A448" t="s">
        <v>5764</v>
      </c>
    </row>
    <row r="449" spans="1:1">
      <c r="A449" t="s">
        <v>5765</v>
      </c>
    </row>
    <row r="450" spans="1:1">
      <c r="A450" t="s">
        <v>5766</v>
      </c>
    </row>
    <row r="451" spans="1:1">
      <c r="A451" t="s">
        <v>5767</v>
      </c>
    </row>
    <row r="452" spans="1:1">
      <c r="A452" t="s">
        <v>5768</v>
      </c>
    </row>
    <row r="453" spans="1:1">
      <c r="A453" t="s">
        <v>5769</v>
      </c>
    </row>
    <row r="454" spans="1:1">
      <c r="A454" t="s">
        <v>5770</v>
      </c>
    </row>
    <row r="455" spans="1:1">
      <c r="A455" t="s">
        <v>5771</v>
      </c>
    </row>
    <row r="456" spans="1:1">
      <c r="A456" t="s">
        <v>5772</v>
      </c>
    </row>
    <row r="457" spans="1:1">
      <c r="A457" t="s">
        <v>5773</v>
      </c>
    </row>
    <row r="458" spans="1:1">
      <c r="A458" t="s">
        <v>5774</v>
      </c>
    </row>
    <row r="459" spans="1:1">
      <c r="A459" t="s">
        <v>5775</v>
      </c>
    </row>
    <row r="460" spans="1:1">
      <c r="A460" t="s">
        <v>5776</v>
      </c>
    </row>
    <row r="461" spans="1:1">
      <c r="A461" t="s">
        <v>5777</v>
      </c>
    </row>
    <row r="462" spans="1:1">
      <c r="A462">
        <v>560</v>
      </c>
    </row>
    <row r="463" spans="1:1">
      <c r="A463" t="s">
        <v>5778</v>
      </c>
    </row>
    <row r="464" spans="1:1">
      <c r="A464" t="s">
        <v>5779</v>
      </c>
    </row>
    <row r="465" spans="1:1">
      <c r="A465" t="s">
        <v>5780</v>
      </c>
    </row>
    <row r="466" spans="1:1">
      <c r="A466" t="s">
        <v>5781</v>
      </c>
    </row>
    <row r="467" spans="1:1">
      <c r="A467" t="s">
        <v>5782</v>
      </c>
    </row>
    <row r="468" spans="1:1">
      <c r="A468" t="s">
        <v>5783</v>
      </c>
    </row>
    <row r="469" spans="1:1">
      <c r="A469" t="s">
        <v>5784</v>
      </c>
    </row>
    <row r="470" spans="1:1">
      <c r="A470" t="s">
        <v>5785</v>
      </c>
    </row>
    <row r="471" spans="1:1">
      <c r="A471" t="s">
        <v>5786</v>
      </c>
    </row>
    <row r="472" spans="1:1">
      <c r="A472" t="s">
        <v>5787</v>
      </c>
    </row>
    <row r="473" spans="1:1">
      <c r="A473" t="s">
        <v>5788</v>
      </c>
    </row>
    <row r="474" spans="1:1">
      <c r="A474" t="s">
        <v>5789</v>
      </c>
    </row>
    <row r="475" spans="1:1">
      <c r="A475" t="s">
        <v>5790</v>
      </c>
    </row>
    <row r="476" spans="1:1">
      <c r="A476" t="s">
        <v>5791</v>
      </c>
    </row>
    <row r="477" spans="1:1">
      <c r="A477" t="s">
        <v>5792</v>
      </c>
    </row>
    <row r="478" spans="1:1">
      <c r="A478" t="s">
        <v>5793</v>
      </c>
    </row>
    <row r="479" spans="1:1">
      <c r="A479" t="s">
        <v>5794</v>
      </c>
    </row>
    <row r="480" spans="1:1">
      <c r="A480" t="s">
        <v>5795</v>
      </c>
    </row>
    <row r="481" spans="1:1">
      <c r="A481" t="s">
        <v>5796</v>
      </c>
    </row>
    <row r="482" spans="1:1">
      <c r="A482" t="s">
        <v>5797</v>
      </c>
    </row>
    <row r="483" spans="1:1">
      <c r="A483" t="s">
        <v>5798</v>
      </c>
    </row>
    <row r="484" spans="1:1">
      <c r="A484" t="s">
        <v>5799</v>
      </c>
    </row>
    <row r="485" spans="1:1">
      <c r="A485" t="s">
        <v>5800</v>
      </c>
    </row>
    <row r="486" spans="1:1">
      <c r="A486" t="s">
        <v>5801</v>
      </c>
    </row>
    <row r="487" spans="1:1">
      <c r="A487" t="s">
        <v>5802</v>
      </c>
    </row>
    <row r="488" spans="1:1">
      <c r="A488" t="s">
        <v>5803</v>
      </c>
    </row>
    <row r="489" spans="1:1">
      <c r="A489" t="s">
        <v>5804</v>
      </c>
    </row>
    <row r="490" spans="1:1">
      <c r="A490" t="s">
        <v>5805</v>
      </c>
    </row>
    <row r="491" spans="1:1">
      <c r="A491" t="s">
        <v>5806</v>
      </c>
    </row>
    <row r="492" spans="1:1">
      <c r="A492" t="s">
        <v>5807</v>
      </c>
    </row>
    <row r="493" spans="1:1">
      <c r="A493" t="s">
        <v>5808</v>
      </c>
    </row>
    <row r="494" spans="1:1">
      <c r="A494">
        <v>582</v>
      </c>
    </row>
    <row r="495" spans="1:1">
      <c r="A495" t="s">
        <v>5809</v>
      </c>
    </row>
    <row r="496" spans="1:1">
      <c r="A496">
        <v>584</v>
      </c>
    </row>
    <row r="497" spans="1:1">
      <c r="A497" t="s">
        <v>5810</v>
      </c>
    </row>
    <row r="498" spans="1:1">
      <c r="A498">
        <v>586</v>
      </c>
    </row>
    <row r="499" spans="1:1">
      <c r="A499" t="s">
        <v>5811</v>
      </c>
    </row>
    <row r="500" spans="1:1">
      <c r="A500">
        <v>588</v>
      </c>
    </row>
    <row r="501" spans="1:1">
      <c r="A501" t="s">
        <v>5812</v>
      </c>
    </row>
    <row r="502" spans="1:1">
      <c r="A502" t="s">
        <v>5813</v>
      </c>
    </row>
    <row r="503" spans="1:1">
      <c r="A503" t="s">
        <v>5814</v>
      </c>
    </row>
    <row r="504" spans="1:1">
      <c r="A504" t="s">
        <v>5815</v>
      </c>
    </row>
    <row r="505" spans="1:1">
      <c r="A505" t="s">
        <v>5816</v>
      </c>
    </row>
    <row r="506" spans="1:1">
      <c r="A506" t="s">
        <v>5817</v>
      </c>
    </row>
    <row r="507" spans="1:1">
      <c r="A507" t="s">
        <v>5818</v>
      </c>
    </row>
    <row r="508" spans="1:1">
      <c r="A508">
        <v>590</v>
      </c>
    </row>
    <row r="509" spans="1:1">
      <c r="A509">
        <v>591</v>
      </c>
    </row>
    <row r="510" spans="1:1">
      <c r="A510">
        <v>592</v>
      </c>
    </row>
    <row r="511" spans="1:1">
      <c r="A511">
        <v>593</v>
      </c>
    </row>
    <row r="512" spans="1:1">
      <c r="A512">
        <v>594</v>
      </c>
    </row>
    <row r="513" spans="1:1">
      <c r="A513">
        <v>595</v>
      </c>
    </row>
    <row r="514" spans="1:1">
      <c r="A514">
        <v>596</v>
      </c>
    </row>
    <row r="515" spans="1:1">
      <c r="A515">
        <v>597</v>
      </c>
    </row>
    <row r="516" spans="1:1">
      <c r="A516">
        <v>598</v>
      </c>
    </row>
    <row r="517" spans="1:1">
      <c r="A517">
        <v>599</v>
      </c>
    </row>
    <row r="518" spans="1:1">
      <c r="A518" t="s">
        <v>5819</v>
      </c>
    </row>
    <row r="519" spans="1:1">
      <c r="A519" t="s">
        <v>5820</v>
      </c>
    </row>
    <row r="520" spans="1:1">
      <c r="A520" t="s">
        <v>5821</v>
      </c>
    </row>
    <row r="521" spans="1:1">
      <c r="A521" t="s">
        <v>5822</v>
      </c>
    </row>
    <row r="522" spans="1:1">
      <c r="A522" t="s">
        <v>5823</v>
      </c>
    </row>
    <row r="523" spans="1:1">
      <c r="A523" t="s">
        <v>5824</v>
      </c>
    </row>
    <row r="524" spans="1:1">
      <c r="A524" t="s">
        <v>5825</v>
      </c>
    </row>
    <row r="525" spans="1:1">
      <c r="A525" t="s">
        <v>5826</v>
      </c>
    </row>
    <row r="526" spans="1:1">
      <c r="A526" t="s">
        <v>5827</v>
      </c>
    </row>
    <row r="527" spans="1:1">
      <c r="A527" t="s">
        <v>5828</v>
      </c>
    </row>
    <row r="528" spans="1:1">
      <c r="A528" t="s">
        <v>5829</v>
      </c>
    </row>
    <row r="529" spans="1:1">
      <c r="A529" t="s">
        <v>5830</v>
      </c>
    </row>
    <row r="530" spans="1:1">
      <c r="A530" t="s">
        <v>5831</v>
      </c>
    </row>
    <row r="531" spans="1:1">
      <c r="A531" t="s">
        <v>5832</v>
      </c>
    </row>
    <row r="532" spans="1:1">
      <c r="A532" t="s">
        <v>5833</v>
      </c>
    </row>
    <row r="533" spans="1:1">
      <c r="A533" t="s">
        <v>5834</v>
      </c>
    </row>
    <row r="534" spans="1:1">
      <c r="A534" t="s">
        <v>5835</v>
      </c>
    </row>
    <row r="535" spans="1:1">
      <c r="A535" t="s">
        <v>5836</v>
      </c>
    </row>
    <row r="537" spans="1:1">
      <c r="A537" t="s">
        <v>5837</v>
      </c>
    </row>
    <row r="538" spans="1:1">
      <c r="A538" t="s">
        <v>5838</v>
      </c>
    </row>
    <row r="539" spans="1:1">
      <c r="A539" t="s">
        <v>5839</v>
      </c>
    </row>
    <row r="540" spans="1:1">
      <c r="A540" t="s">
        <v>5840</v>
      </c>
    </row>
    <row r="541" spans="1:1">
      <c r="A541" t="s">
        <v>5841</v>
      </c>
    </row>
    <row r="542" spans="1:1">
      <c r="A542" t="s">
        <v>5842</v>
      </c>
    </row>
    <row r="543" spans="1:1">
      <c r="A543" t="s">
        <v>5843</v>
      </c>
    </row>
    <row r="544" spans="1:1">
      <c r="A544" t="s">
        <v>5844</v>
      </c>
    </row>
    <row r="545" spans="1:1">
      <c r="A545" t="s">
        <v>5845</v>
      </c>
    </row>
    <row r="546" spans="1:1">
      <c r="A546" t="s">
        <v>5846</v>
      </c>
    </row>
    <row r="547" spans="1:1">
      <c r="A547" t="s">
        <v>5847</v>
      </c>
    </row>
    <row r="548" spans="1:1">
      <c r="A548" t="s">
        <v>5848</v>
      </c>
    </row>
    <row r="549" spans="1:1">
      <c r="A549" t="s">
        <v>5849</v>
      </c>
    </row>
    <row r="550" spans="1:1">
      <c r="A550" t="s">
        <v>5850</v>
      </c>
    </row>
    <row r="551" spans="1:1">
      <c r="A551" t="s">
        <v>5851</v>
      </c>
    </row>
    <row r="552" spans="1:1">
      <c r="A552" t="s">
        <v>5852</v>
      </c>
    </row>
    <row r="553" spans="1:1">
      <c r="A553" t="s">
        <v>5853</v>
      </c>
    </row>
    <row r="554" spans="1:1">
      <c r="A554" t="s">
        <v>5854</v>
      </c>
    </row>
    <row r="555" spans="1:1">
      <c r="A555" t="s">
        <v>5855</v>
      </c>
    </row>
    <row r="557" spans="1:1">
      <c r="A557" t="s">
        <v>5856</v>
      </c>
    </row>
    <row r="558" spans="1:1">
      <c r="A558" t="s">
        <v>5702</v>
      </c>
    </row>
    <row r="559" spans="1:1">
      <c r="A559" t="s">
        <v>5857</v>
      </c>
    </row>
    <row r="560" spans="1:1">
      <c r="A560" t="s">
        <v>5858</v>
      </c>
    </row>
    <row r="561" spans="1:1">
      <c r="A561" t="s">
        <v>5859</v>
      </c>
    </row>
    <row r="563" spans="1:1">
      <c r="A563" t="s">
        <v>5860</v>
      </c>
    </row>
    <row r="564" spans="1:1">
      <c r="A564" t="s">
        <v>5861</v>
      </c>
    </row>
    <row r="566" spans="1:1">
      <c r="A566" t="s">
        <v>5862</v>
      </c>
    </row>
    <row r="568" spans="1:1">
      <c r="A568" t="s">
        <v>5863</v>
      </c>
    </row>
    <row r="569" spans="1:1">
      <c r="A569" t="s">
        <v>5864</v>
      </c>
    </row>
    <row r="570" spans="1:1">
      <c r="A570" t="s">
        <v>5865</v>
      </c>
    </row>
    <row r="571" spans="1:1">
      <c r="A571" t="s">
        <v>5866</v>
      </c>
    </row>
    <row r="572" spans="1:1">
      <c r="A572" t="s">
        <v>5867</v>
      </c>
    </row>
    <row r="573" spans="1:1">
      <c r="A573" t="s">
        <v>5868</v>
      </c>
    </row>
    <row r="574" spans="1:1">
      <c r="A574" t="s">
        <v>5869</v>
      </c>
    </row>
    <row r="575" spans="1:1">
      <c r="A575" t="s">
        <v>5870</v>
      </c>
    </row>
    <row r="576" spans="1:1">
      <c r="A576" t="s">
        <v>5871</v>
      </c>
    </row>
    <row r="578" spans="1:1">
      <c r="A578" t="s">
        <v>5872</v>
      </c>
    </row>
    <row r="579" spans="1:1">
      <c r="A579" t="s">
        <v>5873</v>
      </c>
    </row>
    <row r="580" spans="1:1">
      <c r="A580" t="s">
        <v>5874</v>
      </c>
    </row>
    <row r="581" spans="1:1">
      <c r="A581" t="s">
        <v>5875</v>
      </c>
    </row>
    <row r="582" spans="1:1">
      <c r="A582" t="s">
        <v>5876</v>
      </c>
    </row>
    <row r="583" spans="1:1">
      <c r="A583" t="s">
        <v>5877</v>
      </c>
    </row>
    <row r="584" spans="1:1">
      <c r="A584" t="s">
        <v>5878</v>
      </c>
    </row>
    <row r="585" spans="1:1">
      <c r="A585" t="s">
        <v>5879</v>
      </c>
    </row>
    <row r="586" spans="1:1">
      <c r="A586" t="s">
        <v>5880</v>
      </c>
    </row>
    <row r="587" spans="1:1">
      <c r="A587" t="s">
        <v>5881</v>
      </c>
    </row>
    <row r="588" spans="1:1">
      <c r="A588" t="s">
        <v>5882</v>
      </c>
    </row>
    <row r="589" spans="1:1">
      <c r="A589" t="s">
        <v>5883</v>
      </c>
    </row>
    <row r="590" spans="1:1">
      <c r="A590" t="s">
        <v>5884</v>
      </c>
    </row>
    <row r="591" spans="1:1">
      <c r="A591" t="s">
        <v>5885</v>
      </c>
    </row>
    <row r="592" spans="1:1">
      <c r="A592" t="s">
        <v>5886</v>
      </c>
    </row>
    <row r="593" spans="1:1">
      <c r="A593" t="s">
        <v>5887</v>
      </c>
    </row>
    <row r="594" spans="1:1">
      <c r="A594" t="s">
        <v>5888</v>
      </c>
    </row>
    <row r="595" spans="1:1">
      <c r="A595" t="s">
        <v>5889</v>
      </c>
    </row>
    <row r="596" spans="1:1">
      <c r="A596" t="s">
        <v>5890</v>
      </c>
    </row>
    <row r="597" spans="1:1">
      <c r="A597" t="s">
        <v>5891</v>
      </c>
    </row>
    <row r="598" spans="1:1">
      <c r="A598" t="s">
        <v>5892</v>
      </c>
    </row>
    <row r="599" spans="1:1">
      <c r="A599" t="s">
        <v>5893</v>
      </c>
    </row>
    <row r="600" spans="1:1">
      <c r="A600" t="s">
        <v>5894</v>
      </c>
    </row>
    <row r="601" spans="1:1">
      <c r="A601" t="s">
        <v>5895</v>
      </c>
    </row>
    <row r="602" spans="1:1">
      <c r="A602" t="s">
        <v>5896</v>
      </c>
    </row>
    <row r="603" spans="1:1">
      <c r="A603" t="s">
        <v>5897</v>
      </c>
    </row>
    <row r="604" spans="1:1">
      <c r="A604" t="s">
        <v>5898</v>
      </c>
    </row>
    <row r="605" spans="1:1">
      <c r="A605" t="s">
        <v>5899</v>
      </c>
    </row>
    <row r="606" spans="1:1">
      <c r="A606" t="s">
        <v>5900</v>
      </c>
    </row>
    <row r="607" spans="1:1">
      <c r="A607" t="s">
        <v>5901</v>
      </c>
    </row>
    <row r="608" spans="1:1">
      <c r="A608" t="s">
        <v>5902</v>
      </c>
    </row>
    <row r="609" spans="1:1">
      <c r="A609" t="s">
        <v>5903</v>
      </c>
    </row>
    <row r="610" spans="1:1">
      <c r="A610" t="s">
        <v>5904</v>
      </c>
    </row>
    <row r="611" spans="1:1">
      <c r="A611" t="s">
        <v>5905</v>
      </c>
    </row>
    <row r="612" spans="1:1">
      <c r="A612" t="s">
        <v>5906</v>
      </c>
    </row>
    <row r="613" spans="1:1">
      <c r="A613" t="s">
        <v>5907</v>
      </c>
    </row>
    <row r="614" spans="1:1">
      <c r="A614" t="s">
        <v>5908</v>
      </c>
    </row>
    <row r="615" spans="1:1">
      <c r="A615" t="s">
        <v>5909</v>
      </c>
    </row>
    <row r="616" spans="1:1">
      <c r="A616" t="s">
        <v>5910</v>
      </c>
    </row>
    <row r="617" spans="1:1">
      <c r="A617" t="s">
        <v>5911</v>
      </c>
    </row>
    <row r="618" spans="1:1">
      <c r="A618" t="s">
        <v>5912</v>
      </c>
    </row>
    <row r="619" spans="1:1">
      <c r="A619" t="s">
        <v>5913</v>
      </c>
    </row>
    <row r="620" spans="1:1">
      <c r="A620" t="s">
        <v>5914</v>
      </c>
    </row>
    <row r="621" spans="1:1">
      <c r="A621" t="s">
        <v>5915</v>
      </c>
    </row>
    <row r="622" spans="1:1">
      <c r="A622" t="s">
        <v>5916</v>
      </c>
    </row>
    <row r="623" spans="1:1">
      <c r="A623" t="s">
        <v>5917</v>
      </c>
    </row>
    <row r="624" spans="1:1">
      <c r="A624" t="s">
        <v>5918</v>
      </c>
    </row>
    <row r="625" spans="1:1">
      <c r="A625" t="s">
        <v>5919</v>
      </c>
    </row>
    <row r="626" spans="1:1">
      <c r="A626" t="s">
        <v>5920</v>
      </c>
    </row>
    <row r="627" spans="1:1">
      <c r="A627" t="s">
        <v>5921</v>
      </c>
    </row>
    <row r="628" spans="1:1">
      <c r="A628" t="s">
        <v>5922</v>
      </c>
    </row>
    <row r="629" spans="1:1">
      <c r="A629" t="s">
        <v>5923</v>
      </c>
    </row>
    <row r="630" spans="1:1">
      <c r="A630" t="s">
        <v>5924</v>
      </c>
    </row>
    <row r="631" spans="1:1">
      <c r="A631" t="s">
        <v>5925</v>
      </c>
    </row>
    <row r="632" spans="1:1">
      <c r="A632" t="s">
        <v>5926</v>
      </c>
    </row>
    <row r="633" spans="1:1">
      <c r="A633" t="s">
        <v>5927</v>
      </c>
    </row>
    <row r="634" spans="1:1">
      <c r="A634" t="s">
        <v>5928</v>
      </c>
    </row>
    <row r="635" spans="1:1">
      <c r="A635" t="s">
        <v>5929</v>
      </c>
    </row>
    <row r="636" spans="1:1">
      <c r="A636" t="s">
        <v>5930</v>
      </c>
    </row>
    <row r="637" spans="1:1">
      <c r="A637" t="s">
        <v>5931</v>
      </c>
    </row>
    <row r="638" spans="1:1">
      <c r="A638" t="s">
        <v>5932</v>
      </c>
    </row>
    <row r="639" spans="1:1">
      <c r="A639" t="s">
        <v>5933</v>
      </c>
    </row>
    <row r="640" spans="1:1">
      <c r="A640" t="s">
        <v>5934</v>
      </c>
    </row>
    <row r="641" spans="1:1">
      <c r="A641" t="s">
        <v>5935</v>
      </c>
    </row>
    <row r="642" spans="1:1">
      <c r="A642" t="s">
        <v>5936</v>
      </c>
    </row>
    <row r="643" spans="1:1">
      <c r="A643" t="s">
        <v>5937</v>
      </c>
    </row>
    <row r="644" spans="1:1">
      <c r="A644" t="s">
        <v>5938</v>
      </c>
    </row>
    <row r="645" spans="1:1">
      <c r="A645" t="s">
        <v>5939</v>
      </c>
    </row>
    <row r="646" spans="1:1">
      <c r="A646" t="s">
        <v>5940</v>
      </c>
    </row>
    <row r="647" spans="1:1">
      <c r="A647" t="s">
        <v>5941</v>
      </c>
    </row>
    <row r="648" spans="1:1">
      <c r="A648" t="s">
        <v>5942</v>
      </c>
    </row>
    <row r="649" spans="1:1">
      <c r="A649" t="s">
        <v>5943</v>
      </c>
    </row>
    <row r="650" spans="1:1">
      <c r="A650" t="s">
        <v>5944</v>
      </c>
    </row>
    <row r="651" spans="1:1">
      <c r="A651" t="s">
        <v>5945</v>
      </c>
    </row>
    <row r="652" spans="1:1">
      <c r="A652" t="s">
        <v>5946</v>
      </c>
    </row>
    <row r="653" spans="1:1">
      <c r="A653" t="s">
        <v>5947</v>
      </c>
    </row>
    <row r="654" spans="1:1">
      <c r="A654" t="s">
        <v>5948</v>
      </c>
    </row>
    <row r="655" spans="1:1">
      <c r="A655" t="s">
        <v>5949</v>
      </c>
    </row>
    <row r="656" spans="1:1">
      <c r="A656" t="s">
        <v>5950</v>
      </c>
    </row>
    <row r="657" spans="1:1">
      <c r="A657" t="s">
        <v>5951</v>
      </c>
    </row>
    <row r="658" spans="1:1">
      <c r="A658" t="s">
        <v>5952</v>
      </c>
    </row>
    <row r="659" spans="1:1">
      <c r="A659" t="s">
        <v>5953</v>
      </c>
    </row>
    <row r="660" spans="1:1">
      <c r="A660" t="s">
        <v>5954</v>
      </c>
    </row>
    <row r="661" spans="1:1">
      <c r="A661" t="s">
        <v>5955</v>
      </c>
    </row>
    <row r="662" spans="1:1">
      <c r="A662" t="s">
        <v>5956</v>
      </c>
    </row>
    <row r="663" spans="1:1">
      <c r="A663" t="s">
        <v>5957</v>
      </c>
    </row>
    <row r="664" spans="1:1">
      <c r="A664" t="s">
        <v>5958</v>
      </c>
    </row>
    <row r="665" spans="1:1">
      <c r="A665" t="s">
        <v>5959</v>
      </c>
    </row>
    <row r="666" spans="1:1">
      <c r="A666" t="s">
        <v>5960</v>
      </c>
    </row>
    <row r="667" spans="1:1">
      <c r="A667" t="s">
        <v>5961</v>
      </c>
    </row>
    <row r="668" spans="1:1">
      <c r="A668" t="s">
        <v>5962</v>
      </c>
    </row>
    <row r="669" spans="1:1">
      <c r="A669" t="s">
        <v>5963</v>
      </c>
    </row>
    <row r="670" spans="1:1">
      <c r="A670" t="s">
        <v>5964</v>
      </c>
    </row>
    <row r="671" spans="1:1">
      <c r="A671" t="s">
        <v>5965</v>
      </c>
    </row>
    <row r="672" spans="1:1">
      <c r="A672" t="s">
        <v>5966</v>
      </c>
    </row>
    <row r="674" spans="1:1">
      <c r="A674" t="s">
        <v>5967</v>
      </c>
    </row>
    <row r="675" spans="1:1">
      <c r="A675" t="s">
        <v>5968</v>
      </c>
    </row>
    <row r="676" spans="1:1">
      <c r="A676" t="s">
        <v>5969</v>
      </c>
    </row>
    <row r="677" spans="1:1">
      <c r="A677" t="s">
        <v>5970</v>
      </c>
    </row>
    <row r="678" spans="1:1">
      <c r="A678" t="s">
        <v>5971</v>
      </c>
    </row>
    <row r="679" spans="1:1">
      <c r="A679" t="s">
        <v>5972</v>
      </c>
    </row>
    <row r="680" spans="1:1">
      <c r="A680" t="s">
        <v>5973</v>
      </c>
    </row>
    <row r="681" spans="1:1">
      <c r="A681" t="s">
        <v>5974</v>
      </c>
    </row>
    <row r="682" spans="1:1">
      <c r="A682" t="s">
        <v>5975</v>
      </c>
    </row>
    <row r="683" spans="1:1">
      <c r="A683" t="s">
        <v>5976</v>
      </c>
    </row>
    <row r="684" spans="1:1">
      <c r="A684" t="s">
        <v>5977</v>
      </c>
    </row>
    <row r="685" spans="1:1">
      <c r="A685" t="s">
        <v>5978</v>
      </c>
    </row>
    <row r="686" spans="1:1">
      <c r="A686" t="s">
        <v>5979</v>
      </c>
    </row>
    <row r="687" spans="1:1">
      <c r="A687" t="s">
        <v>5980</v>
      </c>
    </row>
    <row r="688" spans="1:1">
      <c r="A688" t="s">
        <v>5981</v>
      </c>
    </row>
    <row r="689" spans="1:1">
      <c r="A689" t="s">
        <v>5982</v>
      </c>
    </row>
    <row r="690" spans="1:1">
      <c r="A690" t="s">
        <v>5983</v>
      </c>
    </row>
    <row r="691" spans="1:1">
      <c r="A691" t="s">
        <v>5984</v>
      </c>
    </row>
    <row r="692" spans="1:1">
      <c r="A692" t="s">
        <v>5985</v>
      </c>
    </row>
    <row r="693" spans="1:1">
      <c r="A693" t="s">
        <v>5986</v>
      </c>
    </row>
    <row r="694" spans="1:1">
      <c r="A694" t="s">
        <v>5987</v>
      </c>
    </row>
    <row r="695" spans="1:1">
      <c r="A695" t="s">
        <v>5988</v>
      </c>
    </row>
    <row r="696" spans="1:1">
      <c r="A696" t="s">
        <v>5989</v>
      </c>
    </row>
    <row r="697" spans="1:1">
      <c r="A697" t="s">
        <v>5990</v>
      </c>
    </row>
    <row r="698" spans="1:1">
      <c r="A698" t="s">
        <v>5991</v>
      </c>
    </row>
    <row r="699" spans="1:1">
      <c r="A699" t="s">
        <v>5992</v>
      </c>
    </row>
    <row r="700" spans="1:1">
      <c r="A700" t="s">
        <v>5993</v>
      </c>
    </row>
    <row r="701" spans="1:1">
      <c r="A701" t="s">
        <v>5994</v>
      </c>
    </row>
    <row r="702" spans="1:1">
      <c r="A702" t="s">
        <v>5995</v>
      </c>
    </row>
    <row r="703" spans="1:1">
      <c r="A703" t="s">
        <v>5996</v>
      </c>
    </row>
    <row r="704" spans="1:1">
      <c r="A704" t="s">
        <v>5997</v>
      </c>
    </row>
    <row r="705" spans="1:1">
      <c r="A705" t="s">
        <v>5998</v>
      </c>
    </row>
    <row r="706" spans="1:1">
      <c r="A706" t="s">
        <v>5999</v>
      </c>
    </row>
    <row r="707" spans="1:1">
      <c r="A707" t="s">
        <v>6000</v>
      </c>
    </row>
    <row r="708" spans="1:1">
      <c r="A708" t="s">
        <v>6001</v>
      </c>
    </row>
    <row r="709" spans="1:1">
      <c r="A709" t="s">
        <v>6002</v>
      </c>
    </row>
    <row r="710" spans="1:1">
      <c r="A710" t="s">
        <v>6003</v>
      </c>
    </row>
    <row r="711" spans="1:1">
      <c r="A711" t="s">
        <v>6004</v>
      </c>
    </row>
    <row r="712" spans="1:1">
      <c r="A712" t="s">
        <v>6005</v>
      </c>
    </row>
    <row r="713" spans="1:1">
      <c r="A713" t="s">
        <v>6006</v>
      </c>
    </row>
    <row r="714" spans="1:1">
      <c r="A714" t="s">
        <v>6007</v>
      </c>
    </row>
    <row r="715" spans="1:1">
      <c r="A715" t="s">
        <v>6008</v>
      </c>
    </row>
    <row r="716" spans="1:1">
      <c r="A716" t="s">
        <v>6009</v>
      </c>
    </row>
    <row r="717" spans="1:1">
      <c r="A717" t="s">
        <v>6010</v>
      </c>
    </row>
    <row r="718" spans="1:1">
      <c r="A718" t="s">
        <v>6011</v>
      </c>
    </row>
    <row r="719" spans="1:1">
      <c r="A719" t="s">
        <v>6012</v>
      </c>
    </row>
    <row r="720" spans="1:1">
      <c r="A720" t="s">
        <v>6013</v>
      </c>
    </row>
    <row r="721" spans="1:1">
      <c r="A721" t="s">
        <v>6014</v>
      </c>
    </row>
    <row r="722" spans="1:1">
      <c r="A722" t="s">
        <v>6015</v>
      </c>
    </row>
    <row r="723" spans="1:1">
      <c r="A723" t="s">
        <v>6016</v>
      </c>
    </row>
    <row r="724" spans="1:1">
      <c r="A724" t="s">
        <v>6017</v>
      </c>
    </row>
    <row r="725" spans="1:1">
      <c r="A725" t="s">
        <v>6018</v>
      </c>
    </row>
    <row r="726" spans="1:1">
      <c r="A726" t="s">
        <v>6019</v>
      </c>
    </row>
    <row r="727" spans="1:1">
      <c r="A727" t="s">
        <v>6020</v>
      </c>
    </row>
    <row r="728" spans="1:1">
      <c r="A728" t="s">
        <v>6021</v>
      </c>
    </row>
    <row r="729" spans="1:1">
      <c r="A729" t="s">
        <v>6022</v>
      </c>
    </row>
    <row r="730" spans="1:1">
      <c r="A730" t="s">
        <v>6023</v>
      </c>
    </row>
    <row r="731" spans="1:1">
      <c r="A731" t="s">
        <v>5989</v>
      </c>
    </row>
    <row r="732" spans="1:1">
      <c r="A732" t="s">
        <v>6024</v>
      </c>
    </row>
    <row r="733" spans="1:1">
      <c r="A733" t="s">
        <v>6025</v>
      </c>
    </row>
    <row r="734" spans="1:1">
      <c r="A734" t="s">
        <v>6026</v>
      </c>
    </row>
    <row r="735" spans="1:1">
      <c r="A735" t="s">
        <v>6027</v>
      </c>
    </row>
    <row r="736" spans="1:1">
      <c r="A736" t="s">
        <v>6028</v>
      </c>
    </row>
    <row r="737" spans="1:1">
      <c r="A737" t="s">
        <v>6029</v>
      </c>
    </row>
    <row r="738" spans="1:1">
      <c r="A738" t="s">
        <v>6030</v>
      </c>
    </row>
    <row r="739" spans="1:1">
      <c r="A739" t="s">
        <v>6031</v>
      </c>
    </row>
    <row r="740" spans="1:1">
      <c r="A740" t="s">
        <v>6032</v>
      </c>
    </row>
    <row r="741" spans="1:1">
      <c r="A741" t="s">
        <v>5989</v>
      </c>
    </row>
    <row r="742" spans="1:1">
      <c r="A742" t="s">
        <v>6033</v>
      </c>
    </row>
    <row r="743" spans="1:1">
      <c r="A743" t="s">
        <v>6034</v>
      </c>
    </row>
    <row r="744" spans="1:1">
      <c r="A744" t="s">
        <v>6035</v>
      </c>
    </row>
    <row r="745" spans="1:1">
      <c r="A745" t="s">
        <v>6036</v>
      </c>
    </row>
    <row r="746" spans="1:1">
      <c r="A746" t="s">
        <v>6037</v>
      </c>
    </row>
    <row r="747" spans="1:1">
      <c r="A747" t="s">
        <v>6038</v>
      </c>
    </row>
    <row r="748" spans="1:1">
      <c r="A748" t="s">
        <v>6039</v>
      </c>
    </row>
    <row r="749" spans="1:1">
      <c r="A749" t="s">
        <v>6040</v>
      </c>
    </row>
    <row r="750" spans="1:1">
      <c r="A750" t="s">
        <v>6041</v>
      </c>
    </row>
    <row r="751" spans="1:1">
      <c r="A751" t="s">
        <v>6042</v>
      </c>
    </row>
    <row r="752" spans="1:1">
      <c r="A752" t="s">
        <v>6043</v>
      </c>
    </row>
    <row r="753" spans="1:1">
      <c r="A753" t="s">
        <v>6044</v>
      </c>
    </row>
    <row r="754" spans="1:1">
      <c r="A754" t="s">
        <v>6045</v>
      </c>
    </row>
    <row r="755" spans="1:1">
      <c r="A755" t="s">
        <v>6046</v>
      </c>
    </row>
    <row r="756" spans="1:1">
      <c r="A756" t="s">
        <v>6047</v>
      </c>
    </row>
    <row r="757" spans="1:1">
      <c r="A757" t="s">
        <v>6048</v>
      </c>
    </row>
    <row r="758" spans="1:1">
      <c r="A758" t="s">
        <v>6049</v>
      </c>
    </row>
    <row r="759" spans="1:1">
      <c r="A759" t="s">
        <v>5989</v>
      </c>
    </row>
    <row r="760" spans="1:1">
      <c r="A760" t="s">
        <v>6050</v>
      </c>
    </row>
    <row r="761" spans="1:1">
      <c r="A761" t="s">
        <v>5989</v>
      </c>
    </row>
    <row r="762" spans="1:1">
      <c r="A762" t="s">
        <v>6051</v>
      </c>
    </row>
    <row r="763" spans="1:1">
      <c r="A763" t="s">
        <v>6052</v>
      </c>
    </row>
    <row r="764" spans="1:1">
      <c r="A764" t="s">
        <v>6053</v>
      </c>
    </row>
    <row r="765" spans="1:1">
      <c r="A765" t="s">
        <v>6054</v>
      </c>
    </row>
    <row r="766" spans="1:1">
      <c r="A766" t="s">
        <v>6055</v>
      </c>
    </row>
    <row r="767" spans="1:1">
      <c r="A767" t="s">
        <v>6056</v>
      </c>
    </row>
    <row r="768" spans="1:1">
      <c r="A768" t="s">
        <v>6057</v>
      </c>
    </row>
    <row r="769" spans="1:1">
      <c r="A769" t="s">
        <v>6058</v>
      </c>
    </row>
    <row r="770" spans="1:1">
      <c r="A770" t="s">
        <v>6059</v>
      </c>
    </row>
    <row r="771" spans="1:1">
      <c r="A771" t="s">
        <v>6060</v>
      </c>
    </row>
    <row r="772" spans="1:1">
      <c r="A772" t="s">
        <v>5989</v>
      </c>
    </row>
    <row r="773" spans="1:1">
      <c r="A773" t="s">
        <v>6061</v>
      </c>
    </row>
    <row r="774" spans="1:1">
      <c r="A774" t="s">
        <v>6062</v>
      </c>
    </row>
    <row r="775" spans="1:1">
      <c r="A775" t="s">
        <v>6063</v>
      </c>
    </row>
    <row r="776" spans="1:1">
      <c r="A776" t="s">
        <v>6064</v>
      </c>
    </row>
    <row r="777" spans="1:1">
      <c r="A777" t="s">
        <v>6065</v>
      </c>
    </row>
    <row r="778" spans="1:1">
      <c r="A778" t="s">
        <v>6066</v>
      </c>
    </row>
    <row r="779" spans="1:1">
      <c r="A779" t="s">
        <v>6067</v>
      </c>
    </row>
    <row r="780" spans="1:1">
      <c r="A780" t="s">
        <v>5989</v>
      </c>
    </row>
    <row r="781" spans="1:1">
      <c r="A781" t="s">
        <v>6068</v>
      </c>
    </row>
    <row r="782" spans="1:1">
      <c r="A782" t="s">
        <v>6069</v>
      </c>
    </row>
    <row r="783" spans="1:1">
      <c r="A783" t="s">
        <v>5989</v>
      </c>
    </row>
    <row r="784" spans="1:1">
      <c r="A784" t="s">
        <v>6070</v>
      </c>
    </row>
    <row r="785" spans="1:1">
      <c r="A785" t="s">
        <v>6071</v>
      </c>
    </row>
    <row r="786" spans="1:1">
      <c r="A786" t="s">
        <v>5989</v>
      </c>
    </row>
    <row r="787" spans="1:1">
      <c r="A787" t="s">
        <v>6072</v>
      </c>
    </row>
    <row r="788" spans="1:1">
      <c r="A788" t="s">
        <v>6073</v>
      </c>
    </row>
    <row r="789" spans="1:1">
      <c r="A789" t="s">
        <v>5989</v>
      </c>
    </row>
    <row r="790" spans="1:1">
      <c r="A790" t="s">
        <v>6074</v>
      </c>
    </row>
    <row r="791" spans="1:1">
      <c r="A791" t="s">
        <v>6075</v>
      </c>
    </row>
    <row r="792" spans="1:1">
      <c r="A792" t="s">
        <v>5989</v>
      </c>
    </row>
    <row r="793" spans="1:1">
      <c r="A793" t="s">
        <v>6076</v>
      </c>
    </row>
    <row r="794" spans="1:1">
      <c r="A794" t="s">
        <v>6077</v>
      </c>
    </row>
    <row r="795" spans="1:1">
      <c r="A795" t="s">
        <v>5989</v>
      </c>
    </row>
    <row r="796" spans="1:1">
      <c r="A796" t="s">
        <v>6078</v>
      </c>
    </row>
    <row r="797" spans="1:1">
      <c r="A797" t="s">
        <v>6079</v>
      </c>
    </row>
    <row r="798" spans="1:1">
      <c r="A798" t="s">
        <v>5989</v>
      </c>
    </row>
    <row r="799" spans="1:1">
      <c r="A799" t="s">
        <v>6080</v>
      </c>
    </row>
    <row r="800" spans="1:1">
      <c r="A800" t="s">
        <v>6081</v>
      </c>
    </row>
    <row r="801" spans="1:1">
      <c r="A801" t="s">
        <v>5989</v>
      </c>
    </row>
    <row r="802" spans="1:1">
      <c r="A802" t="s">
        <v>6082</v>
      </c>
    </row>
    <row r="803" spans="1:1">
      <c r="A803" t="s">
        <v>6083</v>
      </c>
    </row>
    <row r="805" spans="1:1">
      <c r="A805" t="s">
        <v>6084</v>
      </c>
    </row>
    <row r="806" spans="1:1">
      <c r="A806" t="s">
        <v>6085</v>
      </c>
    </row>
    <row r="807" spans="1:1">
      <c r="A807" t="s">
        <v>6086</v>
      </c>
    </row>
    <row r="808" spans="1:1">
      <c r="A808" t="s">
        <v>6087</v>
      </c>
    </row>
    <row r="810" spans="1:1">
      <c r="A810" t="s">
        <v>6088</v>
      </c>
    </row>
    <row r="812" spans="1:1">
      <c r="A812" t="s">
        <v>6089</v>
      </c>
    </row>
    <row r="813" spans="1:1">
      <c r="A813" t="s">
        <v>6090</v>
      </c>
    </row>
    <row r="814" spans="1:1">
      <c r="A814" t="s">
        <v>6091</v>
      </c>
    </row>
    <row r="816" spans="1:1">
      <c r="A816" t="s">
        <v>6092</v>
      </c>
    </row>
    <row r="817" spans="1:1">
      <c r="A817" t="s">
        <v>6093</v>
      </c>
    </row>
    <row r="818" spans="1:1">
      <c r="A818" t="s">
        <v>6094</v>
      </c>
    </row>
    <row r="819" spans="1:1">
      <c r="A819" t="s">
        <v>6095</v>
      </c>
    </row>
    <row r="820" spans="1:1">
      <c r="A820" t="s">
        <v>6096</v>
      </c>
    </row>
    <row r="821" spans="1:1">
      <c r="A821" t="s">
        <v>6097</v>
      </c>
    </row>
    <row r="822" spans="1:1">
      <c r="A822" t="s">
        <v>6098</v>
      </c>
    </row>
    <row r="823" spans="1:1">
      <c r="A823" t="s">
        <v>6099</v>
      </c>
    </row>
    <row r="824" spans="1:1">
      <c r="A824" t="s">
        <v>6100</v>
      </c>
    </row>
    <row r="825" spans="1:1">
      <c r="A825" t="s">
        <v>6101</v>
      </c>
    </row>
    <row r="826" spans="1:1">
      <c r="A826" t="s">
        <v>6102</v>
      </c>
    </row>
    <row r="827" spans="1:1">
      <c r="A827" t="s">
        <v>6103</v>
      </c>
    </row>
    <row r="828" spans="1:1">
      <c r="A828" t="s">
        <v>6104</v>
      </c>
    </row>
    <row r="829" spans="1:1">
      <c r="A829" t="s">
        <v>6105</v>
      </c>
    </row>
    <row r="830" spans="1:1">
      <c r="A830" t="s">
        <v>6106</v>
      </c>
    </row>
    <row r="831" spans="1:1">
      <c r="A831" t="s">
        <v>6107</v>
      </c>
    </row>
    <row r="832" spans="1:1">
      <c r="A832" t="s">
        <v>6108</v>
      </c>
    </row>
    <row r="833" spans="1:1">
      <c r="A833" t="s">
        <v>6109</v>
      </c>
    </row>
    <row r="834" spans="1:1">
      <c r="A834" t="s">
        <v>6110</v>
      </c>
    </row>
    <row r="835" spans="1:1">
      <c r="A835" t="s">
        <v>6111</v>
      </c>
    </row>
    <row r="836" spans="1:1">
      <c r="A836" t="s">
        <v>6112</v>
      </c>
    </row>
    <row r="837" spans="1:1">
      <c r="A837" t="s">
        <v>6113</v>
      </c>
    </row>
    <row r="838" spans="1:1">
      <c r="A838" t="s">
        <v>6114</v>
      </c>
    </row>
    <row r="839" spans="1:1">
      <c r="A839" t="s">
        <v>6115</v>
      </c>
    </row>
    <row r="840" spans="1:1">
      <c r="A840" t="s">
        <v>6116</v>
      </c>
    </row>
    <row r="841" spans="1:1">
      <c r="A841" t="s">
        <v>6117</v>
      </c>
    </row>
    <row r="842" spans="1:1">
      <c r="A842" t="s">
        <v>6118</v>
      </c>
    </row>
    <row r="843" spans="1:1">
      <c r="A843" t="s">
        <v>6119</v>
      </c>
    </row>
    <row r="844" spans="1:1">
      <c r="A844" t="s">
        <v>6120</v>
      </c>
    </row>
    <row r="845" spans="1:1">
      <c r="A845" t="s">
        <v>6121</v>
      </c>
    </row>
    <row r="846" spans="1:1">
      <c r="A846" t="s">
        <v>6122</v>
      </c>
    </row>
    <row r="847" spans="1:1">
      <c r="A847" t="s">
        <v>6123</v>
      </c>
    </row>
    <row r="848" spans="1:1">
      <c r="A848" t="s">
        <v>6124</v>
      </c>
    </row>
    <row r="849" spans="1:1">
      <c r="A849" t="s">
        <v>6125</v>
      </c>
    </row>
    <row r="850" spans="1:1">
      <c r="A850" t="s">
        <v>6126</v>
      </c>
    </row>
    <row r="851" spans="1:1">
      <c r="A851" t="s">
        <v>6127</v>
      </c>
    </row>
    <row r="852" spans="1:1">
      <c r="A852" t="s">
        <v>6128</v>
      </c>
    </row>
    <row r="853" spans="1:1">
      <c r="A853" t="s">
        <v>6129</v>
      </c>
    </row>
    <row r="854" spans="1:1">
      <c r="A854" t="s">
        <v>6130</v>
      </c>
    </row>
    <row r="855" spans="1:1">
      <c r="A855" t="s">
        <v>6131</v>
      </c>
    </row>
    <row r="856" spans="1:1">
      <c r="A856" t="s">
        <v>6132</v>
      </c>
    </row>
    <row r="857" spans="1:1">
      <c r="A857" t="s">
        <v>6133</v>
      </c>
    </row>
    <row r="858" spans="1:1">
      <c r="A858" t="s">
        <v>6134</v>
      </c>
    </row>
    <row r="859" spans="1:1">
      <c r="A859" t="s">
        <v>6135</v>
      </c>
    </row>
    <row r="860" spans="1:1">
      <c r="A860" t="s">
        <v>6136</v>
      </c>
    </row>
    <row r="861" spans="1:1">
      <c r="A861" t="s">
        <v>6137</v>
      </c>
    </row>
    <row r="862" spans="1:1">
      <c r="A862" t="s">
        <v>6138</v>
      </c>
    </row>
    <row r="863" spans="1:1">
      <c r="A863" t="s">
        <v>6139</v>
      </c>
    </row>
    <row r="864" spans="1:1">
      <c r="A864" t="s">
        <v>6140</v>
      </c>
    </row>
    <row r="865" spans="1:1">
      <c r="A865" t="s">
        <v>6141</v>
      </c>
    </row>
    <row r="866" spans="1:1">
      <c r="A866" t="s">
        <v>6142</v>
      </c>
    </row>
    <row r="867" spans="1:1">
      <c r="A867" t="s">
        <v>6143</v>
      </c>
    </row>
    <row r="868" spans="1:1">
      <c r="A868" t="s">
        <v>6144</v>
      </c>
    </row>
    <row r="869" spans="1:1">
      <c r="A869" t="s">
        <v>6145</v>
      </c>
    </row>
    <row r="870" spans="1:1">
      <c r="A870" t="s">
        <v>6146</v>
      </c>
    </row>
    <row r="871" spans="1:1">
      <c r="A871" t="s">
        <v>6147</v>
      </c>
    </row>
    <row r="872" spans="1:1">
      <c r="A872" t="s">
        <v>6148</v>
      </c>
    </row>
    <row r="873" spans="1:1">
      <c r="A873" t="s">
        <v>6149</v>
      </c>
    </row>
    <row r="874" spans="1:1">
      <c r="A874" t="s">
        <v>6150</v>
      </c>
    </row>
    <row r="875" spans="1:1">
      <c r="A875" t="s">
        <v>6151</v>
      </c>
    </row>
    <row r="876" spans="1:1">
      <c r="A876" t="s">
        <v>6152</v>
      </c>
    </row>
    <row r="877" spans="1:1">
      <c r="A877" t="s">
        <v>6153</v>
      </c>
    </row>
    <row r="878" spans="1:1">
      <c r="A878" t="s">
        <v>6154</v>
      </c>
    </row>
    <row r="879" spans="1:1">
      <c r="A879" t="s">
        <v>6155</v>
      </c>
    </row>
    <row r="880" spans="1:1">
      <c r="A880" t="s">
        <v>6156</v>
      </c>
    </row>
    <row r="881" spans="1:1">
      <c r="A881" t="s">
        <v>6157</v>
      </c>
    </row>
    <row r="882" spans="1:1">
      <c r="A882" t="s">
        <v>6158</v>
      </c>
    </row>
    <row r="883" spans="1:1">
      <c r="A883" t="s">
        <v>6159</v>
      </c>
    </row>
    <row r="884" spans="1:1">
      <c r="A884" t="s">
        <v>6160</v>
      </c>
    </row>
    <row r="885" spans="1:1">
      <c r="A885" t="s">
        <v>6161</v>
      </c>
    </row>
    <row r="886" spans="1:1">
      <c r="A886" t="s">
        <v>6162</v>
      </c>
    </row>
    <row r="887" spans="1:1">
      <c r="A887" t="s">
        <v>6163</v>
      </c>
    </row>
    <row r="888" spans="1:1">
      <c r="A888" t="s">
        <v>6164</v>
      </c>
    </row>
    <row r="889" spans="1:1">
      <c r="A889" t="s">
        <v>6165</v>
      </c>
    </row>
    <row r="890" spans="1:1">
      <c r="A890" t="s">
        <v>6166</v>
      </c>
    </row>
    <row r="891" spans="1:1">
      <c r="A891" t="s">
        <v>6167</v>
      </c>
    </row>
    <row r="892" spans="1:1">
      <c r="A892" t="s">
        <v>6168</v>
      </c>
    </row>
    <row r="893" spans="1:1">
      <c r="A893" t="s">
        <v>6169</v>
      </c>
    </row>
    <row r="894" spans="1:1">
      <c r="A894" t="s">
        <v>6170</v>
      </c>
    </row>
    <row r="895" spans="1:1">
      <c r="A895" t="s">
        <v>6171</v>
      </c>
    </row>
    <row r="896" spans="1:1">
      <c r="A896" t="s">
        <v>6172</v>
      </c>
    </row>
    <row r="897" spans="1:1">
      <c r="A897" t="s">
        <v>6173</v>
      </c>
    </row>
    <row r="898" spans="1:1">
      <c r="A898" t="s">
        <v>6174</v>
      </c>
    </row>
    <row r="899" spans="1:1">
      <c r="A899" t="s">
        <v>6175</v>
      </c>
    </row>
    <row r="900" spans="1:1">
      <c r="A900" t="s">
        <v>6176</v>
      </c>
    </row>
    <row r="901" spans="1:1">
      <c r="A901" t="s">
        <v>6177</v>
      </c>
    </row>
    <row r="902" spans="1:1">
      <c r="A902" t="s">
        <v>6178</v>
      </c>
    </row>
    <row r="903" spans="1:1">
      <c r="A903" t="s">
        <v>6179</v>
      </c>
    </row>
    <row r="904" spans="1:1">
      <c r="A904" t="s">
        <v>6180</v>
      </c>
    </row>
    <row r="905" spans="1:1">
      <c r="A905" t="s">
        <v>6181</v>
      </c>
    </row>
    <row r="906" spans="1:1">
      <c r="A906" t="s">
        <v>6182</v>
      </c>
    </row>
    <row r="907" spans="1:1">
      <c r="A907" t="s">
        <v>6183</v>
      </c>
    </row>
    <row r="908" spans="1:1">
      <c r="A908" t="s">
        <v>6184</v>
      </c>
    </row>
    <row r="909" spans="1:1">
      <c r="A909" t="s">
        <v>6185</v>
      </c>
    </row>
    <row r="910" spans="1:1">
      <c r="A910" t="s">
        <v>6186</v>
      </c>
    </row>
    <row r="911" spans="1:1">
      <c r="A911" t="s">
        <v>6187</v>
      </c>
    </row>
    <row r="912" spans="1:1">
      <c r="A912" t="s">
        <v>6188</v>
      </c>
    </row>
    <row r="913" spans="1:1">
      <c r="A913" t="s">
        <v>6189</v>
      </c>
    </row>
    <row r="914" spans="1:1">
      <c r="A914" t="s">
        <v>6190</v>
      </c>
    </row>
    <row r="915" spans="1:1">
      <c r="A915" t="s">
        <v>6191</v>
      </c>
    </row>
    <row r="916" spans="1:1">
      <c r="A916" t="s">
        <v>6192</v>
      </c>
    </row>
    <row r="917" spans="1:1">
      <c r="A917" t="s">
        <v>6193</v>
      </c>
    </row>
    <row r="918" spans="1:1">
      <c r="A918" t="s">
        <v>6194</v>
      </c>
    </row>
    <row r="919" spans="1:1">
      <c r="A919" t="s">
        <v>6195</v>
      </c>
    </row>
    <row r="920" spans="1:1">
      <c r="A920" t="s">
        <v>6196</v>
      </c>
    </row>
    <row r="921" spans="1:1">
      <c r="A921" t="s">
        <v>6197</v>
      </c>
    </row>
    <row r="922" spans="1:1">
      <c r="A922" t="s">
        <v>6198</v>
      </c>
    </row>
    <row r="923" spans="1:1">
      <c r="A923" t="s">
        <v>6199</v>
      </c>
    </row>
    <row r="924" spans="1:1">
      <c r="A924" t="s">
        <v>6200</v>
      </c>
    </row>
    <row r="925" spans="1:1">
      <c r="A925" t="s">
        <v>6201</v>
      </c>
    </row>
    <row r="926" spans="1:1">
      <c r="A926" t="s">
        <v>6202</v>
      </c>
    </row>
    <row r="927" spans="1:1">
      <c r="A927" t="s">
        <v>6203</v>
      </c>
    </row>
    <row r="928" spans="1:1">
      <c r="A928" t="s">
        <v>6204</v>
      </c>
    </row>
    <row r="929" spans="1:1">
      <c r="A929" t="s">
        <v>6205</v>
      </c>
    </row>
    <row r="930" spans="1:1">
      <c r="A930" t="s">
        <v>6206</v>
      </c>
    </row>
    <row r="931" spans="1:1">
      <c r="A931" t="s">
        <v>6207</v>
      </c>
    </row>
    <row r="932" spans="1:1">
      <c r="A932" t="s">
        <v>6208</v>
      </c>
    </row>
    <row r="933" spans="1:1">
      <c r="A933" t="s">
        <v>6209</v>
      </c>
    </row>
    <row r="934" spans="1:1">
      <c r="A934" t="s">
        <v>6210</v>
      </c>
    </row>
    <row r="935" spans="1:1">
      <c r="A935" t="s">
        <v>6211</v>
      </c>
    </row>
    <row r="936" spans="1:1">
      <c r="A936" t="s">
        <v>6212</v>
      </c>
    </row>
    <row r="937" spans="1:1">
      <c r="A937" t="s">
        <v>6213</v>
      </c>
    </row>
    <row r="938" spans="1:1">
      <c r="A938" t="s">
        <v>6214</v>
      </c>
    </row>
    <row r="939" spans="1:1">
      <c r="A939" t="s">
        <v>6215</v>
      </c>
    </row>
    <row r="940" spans="1:1">
      <c r="A940" t="s">
        <v>6216</v>
      </c>
    </row>
    <row r="941" spans="1:1">
      <c r="A941" t="s">
        <v>6217</v>
      </c>
    </row>
    <row r="942" spans="1:1">
      <c r="A942" t="s">
        <v>6218</v>
      </c>
    </row>
    <row r="943" spans="1:1">
      <c r="A943" t="s">
        <v>6219</v>
      </c>
    </row>
    <row r="944" spans="1:1">
      <c r="A944" t="s">
        <v>6220</v>
      </c>
    </row>
    <row r="945" spans="1:1">
      <c r="A945" t="s">
        <v>6221</v>
      </c>
    </row>
    <row r="946" spans="1:1">
      <c r="A946" t="s">
        <v>6222</v>
      </c>
    </row>
    <row r="947" spans="1:1">
      <c r="A947" t="s">
        <v>6223</v>
      </c>
    </row>
    <row r="948" spans="1:1">
      <c r="A948" t="s">
        <v>6224</v>
      </c>
    </row>
    <row r="949" spans="1:1">
      <c r="A949" t="s">
        <v>6225</v>
      </c>
    </row>
    <row r="950" spans="1:1">
      <c r="A950" t="s">
        <v>6226</v>
      </c>
    </row>
    <row r="951" spans="1:1">
      <c r="A951" t="s">
        <v>6227</v>
      </c>
    </row>
    <row r="952" spans="1:1">
      <c r="A952" t="s">
        <v>6228</v>
      </c>
    </row>
    <row r="953" spans="1:1">
      <c r="A953" t="s">
        <v>6229</v>
      </c>
    </row>
    <row r="954" spans="1:1">
      <c r="A954" t="s">
        <v>6230</v>
      </c>
    </row>
    <row r="955" spans="1:1">
      <c r="A955" t="s">
        <v>6231</v>
      </c>
    </row>
    <row r="956" spans="1:1">
      <c r="A956" t="s">
        <v>6232</v>
      </c>
    </row>
    <row r="957" spans="1:1">
      <c r="A957" t="s">
        <v>6233</v>
      </c>
    </row>
    <row r="958" spans="1:1">
      <c r="A958" t="s">
        <v>6234</v>
      </c>
    </row>
    <row r="959" spans="1:1">
      <c r="A959" t="s">
        <v>6235</v>
      </c>
    </row>
    <row r="960" spans="1:1">
      <c r="A960" t="s">
        <v>6236</v>
      </c>
    </row>
    <row r="961" spans="1:1">
      <c r="A961" t="s">
        <v>6237</v>
      </c>
    </row>
    <row r="962" spans="1:1">
      <c r="A962" t="s">
        <v>6238</v>
      </c>
    </row>
    <row r="963" spans="1:1">
      <c r="A963" t="s">
        <v>6239</v>
      </c>
    </row>
    <row r="964" spans="1:1">
      <c r="A964" t="s">
        <v>6240</v>
      </c>
    </row>
    <row r="965" spans="1:1">
      <c r="A965" t="s">
        <v>6241</v>
      </c>
    </row>
    <row r="966" spans="1:1">
      <c r="A966" t="s">
        <v>6242</v>
      </c>
    </row>
    <row r="967" spans="1:1">
      <c r="A967" t="s">
        <v>6243</v>
      </c>
    </row>
    <row r="968" spans="1:1">
      <c r="A968" t="s">
        <v>6244</v>
      </c>
    </row>
    <row r="969" spans="1:1">
      <c r="A969" t="s">
        <v>6245</v>
      </c>
    </row>
    <row r="970" spans="1:1">
      <c r="A970" t="s">
        <v>6246</v>
      </c>
    </row>
    <row r="971" spans="1:1">
      <c r="A971" t="s">
        <v>6247</v>
      </c>
    </row>
    <row r="972" spans="1:1">
      <c r="A972" t="s">
        <v>6248</v>
      </c>
    </row>
    <row r="973" spans="1:1">
      <c r="A973" t="s">
        <v>6249</v>
      </c>
    </row>
    <row r="974" spans="1:1">
      <c r="A974" t="s">
        <v>6250</v>
      </c>
    </row>
    <row r="975" spans="1:1">
      <c r="A975" t="s">
        <v>6251</v>
      </c>
    </row>
    <row r="976" spans="1:1">
      <c r="A976" t="s">
        <v>6252</v>
      </c>
    </row>
    <row r="977" spans="1:1">
      <c r="A977" t="s">
        <v>6253</v>
      </c>
    </row>
    <row r="978" spans="1:1">
      <c r="A978" t="s">
        <v>6254</v>
      </c>
    </row>
    <row r="979" spans="1:1">
      <c r="A979" t="s">
        <v>6255</v>
      </c>
    </row>
    <row r="980" spans="1:1">
      <c r="A980" t="s">
        <v>6256</v>
      </c>
    </row>
    <row r="981" spans="1:1">
      <c r="A981" t="s">
        <v>6257</v>
      </c>
    </row>
    <row r="982" spans="1:1">
      <c r="A982" t="s">
        <v>6258</v>
      </c>
    </row>
    <row r="983" spans="1:1">
      <c r="A983" t="s">
        <v>6259</v>
      </c>
    </row>
    <row r="984" spans="1:1">
      <c r="A984" t="s">
        <v>6260</v>
      </c>
    </row>
    <row r="985" spans="1:1">
      <c r="A985" t="s">
        <v>6261</v>
      </c>
    </row>
    <row r="986" spans="1:1">
      <c r="A986" t="s">
        <v>6262</v>
      </c>
    </row>
    <row r="987" spans="1:1">
      <c r="A987" t="s">
        <v>6263</v>
      </c>
    </row>
    <row r="988" spans="1:1">
      <c r="A988" t="s">
        <v>6264</v>
      </c>
    </row>
    <row r="989" spans="1:1">
      <c r="A989" t="s">
        <v>6265</v>
      </c>
    </row>
    <row r="990" spans="1:1">
      <c r="A990" t="s">
        <v>6266</v>
      </c>
    </row>
    <row r="991" spans="1:1">
      <c r="A991" t="s">
        <v>6267</v>
      </c>
    </row>
    <row r="992" spans="1:1">
      <c r="A992" t="s">
        <v>6268</v>
      </c>
    </row>
    <row r="993" spans="1:1">
      <c r="A993" t="s">
        <v>6269</v>
      </c>
    </row>
    <row r="994" spans="1:1">
      <c r="A994" t="s">
        <v>6270</v>
      </c>
    </row>
    <row r="995" spans="1:1">
      <c r="A995" t="s">
        <v>6271</v>
      </c>
    </row>
    <row r="996" spans="1:1">
      <c r="A996" t="s">
        <v>6272</v>
      </c>
    </row>
    <row r="997" spans="1:1">
      <c r="A997" t="s">
        <v>6273</v>
      </c>
    </row>
    <row r="998" spans="1:1">
      <c r="A998" t="s">
        <v>6274</v>
      </c>
    </row>
    <row r="999" spans="1:1">
      <c r="A999" t="s">
        <v>6275</v>
      </c>
    </row>
    <row r="1000" spans="1:1">
      <c r="A1000" t="s">
        <v>6276</v>
      </c>
    </row>
    <row r="1001" spans="1:1">
      <c r="A1001" t="s">
        <v>6277</v>
      </c>
    </row>
    <row r="1002" spans="1:1">
      <c r="A1002" t="s">
        <v>6278</v>
      </c>
    </row>
    <row r="1003" spans="1:1">
      <c r="A1003" t="s">
        <v>6279</v>
      </c>
    </row>
    <row r="1004" spans="1:1">
      <c r="A1004" t="s">
        <v>6280</v>
      </c>
    </row>
    <row r="1005" spans="1:1">
      <c r="A1005" t="s">
        <v>6281</v>
      </c>
    </row>
    <row r="1006" spans="1:1">
      <c r="A1006" t="s">
        <v>6282</v>
      </c>
    </row>
    <row r="1007" spans="1:1">
      <c r="A1007" t="s">
        <v>6283</v>
      </c>
    </row>
    <row r="1008" spans="1:1">
      <c r="A1008" t="s">
        <v>6284</v>
      </c>
    </row>
    <row r="1009" spans="1:1">
      <c r="A1009" t="s">
        <v>6285</v>
      </c>
    </row>
    <row r="1010" spans="1:1">
      <c r="A1010" t="s">
        <v>6286</v>
      </c>
    </row>
    <row r="1011" spans="1:1">
      <c r="A1011" t="s">
        <v>6287</v>
      </c>
    </row>
    <row r="1012" spans="1:1">
      <c r="A1012" t="s">
        <v>6288</v>
      </c>
    </row>
    <row r="1013" spans="1:1">
      <c r="A1013" t="s">
        <v>6289</v>
      </c>
    </row>
    <row r="1014" spans="1:1">
      <c r="A1014" t="s">
        <v>6290</v>
      </c>
    </row>
    <row r="1015" spans="1:1">
      <c r="A1015" t="s">
        <v>6291</v>
      </c>
    </row>
    <row r="1016" spans="1:1">
      <c r="A1016" t="s">
        <v>6292</v>
      </c>
    </row>
    <row r="1017" spans="1:1">
      <c r="A1017" t="s">
        <v>6293</v>
      </c>
    </row>
    <row r="1018" spans="1:1">
      <c r="A1018" t="s">
        <v>6294</v>
      </c>
    </row>
    <row r="1019" spans="1:1">
      <c r="A1019" t="s">
        <v>6295</v>
      </c>
    </row>
    <row r="1020" spans="1:1">
      <c r="A1020" t="s">
        <v>6296</v>
      </c>
    </row>
    <row r="1021" spans="1:1">
      <c r="A1021" t="s">
        <v>6297</v>
      </c>
    </row>
    <row r="1022" spans="1:1">
      <c r="A1022" t="s">
        <v>6298</v>
      </c>
    </row>
    <row r="1023" spans="1:1">
      <c r="A1023" t="s">
        <v>6299</v>
      </c>
    </row>
    <row r="1024" spans="1:1">
      <c r="A1024" t="s">
        <v>6300</v>
      </c>
    </row>
    <row r="1025" spans="1:1">
      <c r="A1025" t="s">
        <v>6301</v>
      </c>
    </row>
    <row r="1026" spans="1:1">
      <c r="A1026" t="s">
        <v>6302</v>
      </c>
    </row>
    <row r="1027" spans="1:1">
      <c r="A1027" t="s">
        <v>6303</v>
      </c>
    </row>
    <row r="1028" spans="1:1">
      <c r="A1028" t="s">
        <v>6304</v>
      </c>
    </row>
    <row r="1029" spans="1:1">
      <c r="A1029" t="s">
        <v>6305</v>
      </c>
    </row>
    <row r="1030" spans="1:1">
      <c r="A1030" t="s">
        <v>6306</v>
      </c>
    </row>
    <row r="1031" spans="1:1">
      <c r="A1031" t="s">
        <v>6307</v>
      </c>
    </row>
    <row r="1032" spans="1:1">
      <c r="A1032" t="s">
        <v>6308</v>
      </c>
    </row>
    <row r="1033" spans="1:1">
      <c r="A1033" t="s">
        <v>6309</v>
      </c>
    </row>
    <row r="1034" spans="1:1">
      <c r="A1034" t="s">
        <v>6310</v>
      </c>
    </row>
    <row r="1035" spans="1:1">
      <c r="A1035" t="s">
        <v>6311</v>
      </c>
    </row>
    <row r="1036" spans="1:1">
      <c r="A1036" t="s">
        <v>6312</v>
      </c>
    </row>
    <row r="1037" spans="1:1">
      <c r="A1037" t="s">
        <v>6313</v>
      </c>
    </row>
    <row r="1038" spans="1:1">
      <c r="A1038" t="s">
        <v>6314</v>
      </c>
    </row>
    <row r="1039" spans="1:1">
      <c r="A1039" t="s">
        <v>6315</v>
      </c>
    </row>
    <row r="1040" spans="1:1">
      <c r="A1040" t="s">
        <v>6316</v>
      </c>
    </row>
    <row r="1041" spans="1:1">
      <c r="A1041" t="s">
        <v>6317</v>
      </c>
    </row>
    <row r="1042" spans="1:1">
      <c r="A1042" t="s">
        <v>6318</v>
      </c>
    </row>
    <row r="1043" spans="1:1">
      <c r="A1043" t="s">
        <v>6319</v>
      </c>
    </row>
    <row r="1044" spans="1:1">
      <c r="A1044" t="s">
        <v>6320</v>
      </c>
    </row>
    <row r="1045" spans="1:1">
      <c r="A1045" t="s">
        <v>6321</v>
      </c>
    </row>
    <row r="1046" spans="1:1">
      <c r="A1046" t="s">
        <v>6322</v>
      </c>
    </row>
    <row r="1047" spans="1:1">
      <c r="A1047" t="s">
        <v>6323</v>
      </c>
    </row>
    <row r="1048" spans="1:1">
      <c r="A1048" t="s">
        <v>6324</v>
      </c>
    </row>
    <row r="1049" spans="1:1">
      <c r="A1049" t="s">
        <v>6325</v>
      </c>
    </row>
    <row r="1050" spans="1:1">
      <c r="A1050" t="s">
        <v>6326</v>
      </c>
    </row>
    <row r="1051" spans="1:1">
      <c r="A1051" t="s">
        <v>6327</v>
      </c>
    </row>
    <row r="1052" spans="1:1">
      <c r="A1052" t="s">
        <v>6328</v>
      </c>
    </row>
    <row r="1053" spans="1:1">
      <c r="A1053" t="s">
        <v>6329</v>
      </c>
    </row>
    <row r="1054" spans="1:1">
      <c r="A1054" t="s">
        <v>6330</v>
      </c>
    </row>
    <row r="1055" spans="1:1">
      <c r="A1055" t="s">
        <v>6331</v>
      </c>
    </row>
    <row r="1056" spans="1:1">
      <c r="A1056" t="s">
        <v>6332</v>
      </c>
    </row>
    <row r="1057" spans="1:1">
      <c r="A1057" t="s">
        <v>6333</v>
      </c>
    </row>
    <row r="1058" spans="1:1">
      <c r="A1058" t="s">
        <v>6334</v>
      </c>
    </row>
    <row r="1059" spans="1:1">
      <c r="A1059" t="s">
        <v>6335</v>
      </c>
    </row>
    <row r="1060" spans="1:1">
      <c r="A1060" t="s">
        <v>6336</v>
      </c>
    </row>
    <row r="1061" spans="1:1">
      <c r="A1061" t="s">
        <v>6337</v>
      </c>
    </row>
    <row r="1062" spans="1:1">
      <c r="A1062" t="s">
        <v>6338</v>
      </c>
    </row>
    <row r="1063" spans="1:1">
      <c r="A1063" t="s">
        <v>6339</v>
      </c>
    </row>
    <row r="1064" spans="1:1">
      <c r="A1064" t="s">
        <v>6340</v>
      </c>
    </row>
    <row r="1065" spans="1:1">
      <c r="A1065" t="s">
        <v>6341</v>
      </c>
    </row>
    <row r="1066" spans="1:1">
      <c r="A1066" t="s">
        <v>6342</v>
      </c>
    </row>
    <row r="1067" spans="1:1">
      <c r="A1067" t="s">
        <v>6343</v>
      </c>
    </row>
    <row r="1068" spans="1:1">
      <c r="A1068" t="s">
        <v>6344</v>
      </c>
    </row>
    <row r="1069" spans="1:1">
      <c r="A1069" t="s">
        <v>6313</v>
      </c>
    </row>
    <row r="1070" spans="1:1">
      <c r="A1070" t="s">
        <v>6345</v>
      </c>
    </row>
    <row r="1071" spans="1:1">
      <c r="A1071" t="s">
        <v>6346</v>
      </c>
    </row>
    <row r="1072" spans="1:1">
      <c r="A1072" t="s">
        <v>6347</v>
      </c>
    </row>
    <row r="1073" spans="1:1">
      <c r="A1073" t="s">
        <v>6348</v>
      </c>
    </row>
    <row r="1074" spans="1:1">
      <c r="A1074" t="s">
        <v>6349</v>
      </c>
    </row>
    <row r="1075" spans="1:1">
      <c r="A1075" t="s">
        <v>6350</v>
      </c>
    </row>
    <row r="1076" spans="1:1">
      <c r="A1076" t="s">
        <v>6351</v>
      </c>
    </row>
    <row r="1077" spans="1:1">
      <c r="A1077" t="s">
        <v>6352</v>
      </c>
    </row>
    <row r="1078" spans="1:1">
      <c r="A1078" t="s">
        <v>6353</v>
      </c>
    </row>
    <row r="1079" spans="1:1">
      <c r="A1079" t="s">
        <v>6354</v>
      </c>
    </row>
    <row r="1080" spans="1:1">
      <c r="A1080" t="s">
        <v>6355</v>
      </c>
    </row>
    <row r="1081" spans="1:1">
      <c r="A1081" t="s">
        <v>6356</v>
      </c>
    </row>
    <row r="1082" spans="1:1">
      <c r="A1082" t="s">
        <v>6357</v>
      </c>
    </row>
    <row r="1083" spans="1:1">
      <c r="A1083" t="s">
        <v>6358</v>
      </c>
    </row>
    <row r="1084" spans="1:1">
      <c r="A1084" t="s">
        <v>6359</v>
      </c>
    </row>
    <row r="1085" spans="1:1">
      <c r="A1085" t="s">
        <v>6360</v>
      </c>
    </row>
    <row r="1086" spans="1:1">
      <c r="A1086" t="s">
        <v>6361</v>
      </c>
    </row>
    <row r="1087" spans="1:1">
      <c r="A1087" t="s">
        <v>6362</v>
      </c>
    </row>
    <row r="1088" spans="1:1">
      <c r="A1088" t="s">
        <v>6363</v>
      </c>
    </row>
    <row r="1089" spans="1:1">
      <c r="A1089" t="s">
        <v>6364</v>
      </c>
    </row>
    <row r="1090" spans="1:1">
      <c r="A1090" t="s">
        <v>6365</v>
      </c>
    </row>
    <row r="1091" spans="1:1">
      <c r="A1091" t="s">
        <v>6366</v>
      </c>
    </row>
    <row r="1092" spans="1:1">
      <c r="A1092" t="s">
        <v>6367</v>
      </c>
    </row>
    <row r="1093" spans="1:1">
      <c r="A1093" t="s">
        <v>6368</v>
      </c>
    </row>
    <row r="1094" spans="1:1">
      <c r="A1094" t="s">
        <v>6369</v>
      </c>
    </row>
    <row r="1095" spans="1:1">
      <c r="A1095" t="s">
        <v>6370</v>
      </c>
    </row>
    <row r="1096" spans="1:1">
      <c r="A1096" t="s">
        <v>6371</v>
      </c>
    </row>
    <row r="1097" spans="1:1">
      <c r="A1097" t="s">
        <v>6372</v>
      </c>
    </row>
    <row r="1098" spans="1:1">
      <c r="A1098" t="s">
        <v>6373</v>
      </c>
    </row>
    <row r="1099" spans="1:1">
      <c r="A1099" t="s">
        <v>6374</v>
      </c>
    </row>
    <row r="1100" spans="1:1">
      <c r="A1100" t="s">
        <v>6375</v>
      </c>
    </row>
    <row r="1101" spans="1:1">
      <c r="A1101" t="s">
        <v>6376</v>
      </c>
    </row>
    <row r="1102" spans="1:1">
      <c r="A1102" t="s">
        <v>6377</v>
      </c>
    </row>
    <row r="1103" spans="1:1">
      <c r="A1103" t="s">
        <v>6378</v>
      </c>
    </row>
    <row r="1104" spans="1:1">
      <c r="A1104" t="s">
        <v>6379</v>
      </c>
    </row>
    <row r="1105" spans="1:1">
      <c r="A1105" t="s">
        <v>6380</v>
      </c>
    </row>
    <row r="1106" spans="1:1">
      <c r="A1106" t="s">
        <v>6381</v>
      </c>
    </row>
    <row r="1107" spans="1:1">
      <c r="A1107" t="s">
        <v>6382</v>
      </c>
    </row>
    <row r="1108" spans="1:1">
      <c r="A1108" t="s">
        <v>6383</v>
      </c>
    </row>
    <row r="1109" spans="1:1">
      <c r="A1109" t="s">
        <v>6384</v>
      </c>
    </row>
    <row r="1110" spans="1:1">
      <c r="A1110" t="s">
        <v>6385</v>
      </c>
    </row>
    <row r="1111" spans="1:1">
      <c r="A1111" t="s">
        <v>6386</v>
      </c>
    </row>
    <row r="1112" spans="1:1">
      <c r="A1112" t="s">
        <v>6387</v>
      </c>
    </row>
    <row r="1113" spans="1:1">
      <c r="A1113" t="s">
        <v>6388</v>
      </c>
    </row>
    <row r="1114" spans="1:1">
      <c r="A1114" t="s">
        <v>6389</v>
      </c>
    </row>
    <row r="1115" spans="1:1">
      <c r="A1115" t="s">
        <v>6390</v>
      </c>
    </row>
    <row r="1116" spans="1:1">
      <c r="A1116" t="s">
        <v>6391</v>
      </c>
    </row>
    <row r="1117" spans="1:1">
      <c r="A1117" t="s">
        <v>6392</v>
      </c>
    </row>
    <row r="1118" spans="1:1">
      <c r="A1118" t="s">
        <v>6393</v>
      </c>
    </row>
    <row r="1119" spans="1:1">
      <c r="A1119" t="s">
        <v>6394</v>
      </c>
    </row>
    <row r="1120" spans="1:1">
      <c r="A1120" t="s">
        <v>6395</v>
      </c>
    </row>
    <row r="1121" spans="1:1">
      <c r="A1121" t="s">
        <v>6396</v>
      </c>
    </row>
    <row r="1122" spans="1:1">
      <c r="A1122" t="s">
        <v>6397</v>
      </c>
    </row>
    <row r="1123" spans="1:1">
      <c r="A1123" t="s">
        <v>6398</v>
      </c>
    </row>
    <row r="1124" spans="1:1">
      <c r="A1124" t="s">
        <v>6399</v>
      </c>
    </row>
    <row r="1125" spans="1:1">
      <c r="A1125" t="s">
        <v>6400</v>
      </c>
    </row>
    <row r="1126" spans="1:1">
      <c r="A1126" t="s">
        <v>6401</v>
      </c>
    </row>
    <row r="1127" spans="1:1">
      <c r="A1127" t="s">
        <v>6402</v>
      </c>
    </row>
    <row r="1128" spans="1:1">
      <c r="A1128" t="s">
        <v>6403</v>
      </c>
    </row>
    <row r="1129" spans="1:1">
      <c r="A1129" t="s">
        <v>6404</v>
      </c>
    </row>
    <row r="1130" spans="1:1">
      <c r="A1130" t="s">
        <v>6405</v>
      </c>
    </row>
    <row r="1131" spans="1:1">
      <c r="A1131" t="s">
        <v>6406</v>
      </c>
    </row>
    <row r="1132" spans="1:1">
      <c r="A1132" t="s">
        <v>6407</v>
      </c>
    </row>
    <row r="1133" spans="1:1">
      <c r="A1133">
        <v>-1929</v>
      </c>
    </row>
    <row r="1134" spans="1:1">
      <c r="A1134" t="s">
        <v>6408</v>
      </c>
    </row>
    <row r="1135" spans="1:1">
      <c r="A1135">
        <v>-1933</v>
      </c>
    </row>
    <row r="1136" spans="1:1">
      <c r="A1136" t="s">
        <v>6409</v>
      </c>
    </row>
    <row r="1137" spans="1:1">
      <c r="A1137">
        <v>-1935</v>
      </c>
    </row>
    <row r="1138" spans="1:1">
      <c r="A1138">
        <v>-1936</v>
      </c>
    </row>
    <row r="1139" spans="1:1">
      <c r="A1139">
        <v>-1937</v>
      </c>
    </row>
    <row r="1140" spans="1:1">
      <c r="A1140">
        <v>-1938</v>
      </c>
    </row>
    <row r="1141" spans="1:1">
      <c r="A1141">
        <v>-1939</v>
      </c>
    </row>
    <row r="1142" spans="1:1">
      <c r="A1142" t="s">
        <v>6410</v>
      </c>
    </row>
    <row r="1143" spans="1:1">
      <c r="A1143" t="s">
        <v>6411</v>
      </c>
    </row>
    <row r="1144" spans="1:1">
      <c r="A1144" t="s">
        <v>6412</v>
      </c>
    </row>
    <row r="1145" spans="1:1">
      <c r="A1145" t="s">
        <v>6413</v>
      </c>
    </row>
    <row r="1146" spans="1:1">
      <c r="A1146" t="s">
        <v>6414</v>
      </c>
    </row>
    <row r="1147" spans="1:1">
      <c r="A1147" t="s">
        <v>6415</v>
      </c>
    </row>
    <row r="1148" spans="1:1">
      <c r="A1148" t="s">
        <v>6416</v>
      </c>
    </row>
    <row r="1149" spans="1:1">
      <c r="A1149" t="s">
        <v>6417</v>
      </c>
    </row>
    <row r="1150" spans="1:1">
      <c r="A1150" t="s">
        <v>6418</v>
      </c>
    </row>
    <row r="1151" spans="1:1">
      <c r="A1151" t="s">
        <v>6419</v>
      </c>
    </row>
    <row r="1152" spans="1:1">
      <c r="A1152" t="s">
        <v>6420</v>
      </c>
    </row>
    <row r="1153" spans="1:1">
      <c r="A1153" t="s">
        <v>6421</v>
      </c>
    </row>
    <row r="1154" spans="1:1">
      <c r="A1154" t="s">
        <v>6422</v>
      </c>
    </row>
    <row r="1155" spans="1:1">
      <c r="A1155" t="s">
        <v>6423</v>
      </c>
    </row>
    <row r="1156" spans="1:1">
      <c r="A1156" t="s">
        <v>6424</v>
      </c>
    </row>
    <row r="1157" spans="1:1">
      <c r="A1157" t="s">
        <v>6425</v>
      </c>
    </row>
    <row r="1158" spans="1:1">
      <c r="A1158" t="s">
        <v>6426</v>
      </c>
    </row>
    <row r="1159" spans="1:1">
      <c r="A1159" t="s">
        <v>6427</v>
      </c>
    </row>
    <row r="1160" spans="1:1">
      <c r="A1160" t="s">
        <v>6428</v>
      </c>
    </row>
    <row r="1161" spans="1:1">
      <c r="A1161" t="s">
        <v>6429</v>
      </c>
    </row>
    <row r="1162" spans="1:1">
      <c r="A1162" t="s">
        <v>6430</v>
      </c>
    </row>
    <row r="1163" spans="1:1">
      <c r="A1163" t="s">
        <v>6431</v>
      </c>
    </row>
    <row r="1164" spans="1:1">
      <c r="A1164" t="s">
        <v>6432</v>
      </c>
    </row>
    <row r="1165" spans="1:1">
      <c r="A1165" t="s">
        <v>6433</v>
      </c>
    </row>
    <row r="1166" spans="1:1">
      <c r="A1166" t="s">
        <v>6434</v>
      </c>
    </row>
    <row r="1167" spans="1:1">
      <c r="A1167" t="s">
        <v>6435</v>
      </c>
    </row>
    <row r="1168" spans="1:1">
      <c r="A1168" t="s">
        <v>6436</v>
      </c>
    </row>
    <row r="1169" spans="1:1">
      <c r="A1169" t="s">
        <v>6437</v>
      </c>
    </row>
    <row r="1170" spans="1:1">
      <c r="A1170" t="s">
        <v>6438</v>
      </c>
    </row>
    <row r="1171" spans="1:1">
      <c r="A1171" t="s">
        <v>6439</v>
      </c>
    </row>
    <row r="1172" spans="1:1">
      <c r="A1172" t="s">
        <v>6440</v>
      </c>
    </row>
    <row r="1173" spans="1:1">
      <c r="A1173" t="s">
        <v>6441</v>
      </c>
    </row>
    <row r="1174" spans="1:1">
      <c r="A1174" t="s">
        <v>6442</v>
      </c>
    </row>
    <row r="1175" spans="1:1">
      <c r="A1175" t="s">
        <v>6443</v>
      </c>
    </row>
    <row r="1176" spans="1:1">
      <c r="A1176" t="s">
        <v>6444</v>
      </c>
    </row>
    <row r="1177" spans="1:1">
      <c r="A1177" t="s">
        <v>6445</v>
      </c>
    </row>
    <row r="1178" spans="1:1">
      <c r="A1178" t="s">
        <v>6446</v>
      </c>
    </row>
    <row r="1179" spans="1:1">
      <c r="A1179" t="s">
        <v>6447</v>
      </c>
    </row>
    <row r="1180" spans="1:1">
      <c r="A1180" t="s">
        <v>6448</v>
      </c>
    </row>
    <row r="1181" spans="1:1">
      <c r="A1181" t="s">
        <v>6449</v>
      </c>
    </row>
    <row r="1182" spans="1:1">
      <c r="A1182" t="s">
        <v>6450</v>
      </c>
    </row>
    <row r="1183" spans="1:1">
      <c r="A1183" t="s">
        <v>6451</v>
      </c>
    </row>
    <row r="1184" spans="1:1">
      <c r="A1184" t="s">
        <v>6452</v>
      </c>
    </row>
    <row r="1185" spans="1:1">
      <c r="A1185" t="s">
        <v>6453</v>
      </c>
    </row>
    <row r="1186" spans="1:1">
      <c r="A1186" t="s">
        <v>6454</v>
      </c>
    </row>
    <row r="1187" spans="1:1">
      <c r="A1187" t="s">
        <v>6455</v>
      </c>
    </row>
    <row r="1188" spans="1:1">
      <c r="A1188" t="s">
        <v>6456</v>
      </c>
    </row>
    <row r="1190" spans="1:1">
      <c r="A1190" t="s">
        <v>6457</v>
      </c>
    </row>
    <row r="1191" spans="1:1">
      <c r="A1191" t="s">
        <v>6458</v>
      </c>
    </row>
    <row r="1192" spans="1:1">
      <c r="A1192" t="s">
        <v>6459</v>
      </c>
    </row>
    <row r="1193" spans="1:1">
      <c r="A1193" t="s">
        <v>6460</v>
      </c>
    </row>
    <row r="1194" spans="1:1">
      <c r="A1194" t="s">
        <v>6461</v>
      </c>
    </row>
    <row r="1195" spans="1:1">
      <c r="A1195" t="s">
        <v>6462</v>
      </c>
    </row>
    <row r="1196" spans="1:1">
      <c r="A1196" t="s">
        <v>6463</v>
      </c>
    </row>
    <row r="1197" spans="1:1">
      <c r="A1197" t="s">
        <v>6464</v>
      </c>
    </row>
    <row r="1198" spans="1:1">
      <c r="A1198" t="s">
        <v>6465</v>
      </c>
    </row>
    <row r="1199" spans="1:1">
      <c r="A1199" t="s">
        <v>6466</v>
      </c>
    </row>
    <row r="1200" spans="1:1">
      <c r="A1200" t="s">
        <v>6467</v>
      </c>
    </row>
    <row r="1201" spans="1:1">
      <c r="A1201" t="s">
        <v>6468</v>
      </c>
    </row>
    <row r="1202" spans="1:1">
      <c r="A1202" t="s">
        <v>6469</v>
      </c>
    </row>
    <row r="1203" spans="1:1">
      <c r="A1203" t="s">
        <v>6470</v>
      </c>
    </row>
    <row r="1204" spans="1:1">
      <c r="A1204" t="s">
        <v>6471</v>
      </c>
    </row>
    <row r="1205" spans="1:1">
      <c r="A1205" t="s">
        <v>6472</v>
      </c>
    </row>
    <row r="1206" spans="1:1">
      <c r="A1206" t="s">
        <v>6473</v>
      </c>
    </row>
    <row r="1207" spans="1:1">
      <c r="A1207" t="s">
        <v>6474</v>
      </c>
    </row>
    <row r="1208" spans="1:1">
      <c r="A1208" t="s">
        <v>6475</v>
      </c>
    </row>
    <row r="1209" spans="1:1">
      <c r="A1209" t="s">
        <v>6476</v>
      </c>
    </row>
    <row r="1210" spans="1:1">
      <c r="A1210" t="s">
        <v>6477</v>
      </c>
    </row>
    <row r="1211" spans="1:1">
      <c r="A1211" t="s">
        <v>6478</v>
      </c>
    </row>
    <row r="1212" spans="1:1">
      <c r="A1212" t="s">
        <v>6479</v>
      </c>
    </row>
    <row r="1213" spans="1:1">
      <c r="A1213" t="s">
        <v>6480</v>
      </c>
    </row>
    <row r="1214" spans="1:1">
      <c r="A1214" t="s">
        <v>6481</v>
      </c>
    </row>
    <row r="1215" spans="1:1">
      <c r="A1215" t="s">
        <v>6482</v>
      </c>
    </row>
    <row r="1216" spans="1:1">
      <c r="A1216" t="s">
        <v>6483</v>
      </c>
    </row>
    <row r="1217" spans="1:1">
      <c r="A1217" t="s">
        <v>6484</v>
      </c>
    </row>
    <row r="1218" spans="1:1">
      <c r="A1218" t="s">
        <v>6485</v>
      </c>
    </row>
    <row r="1219" spans="1:1">
      <c r="A1219" t="s">
        <v>6486</v>
      </c>
    </row>
    <row r="1220" spans="1:1">
      <c r="A1220" t="s">
        <v>6487</v>
      </c>
    </row>
    <row r="1221" spans="1:1">
      <c r="A1221" t="s">
        <v>6488</v>
      </c>
    </row>
    <row r="1222" spans="1:1">
      <c r="A1222" t="s">
        <v>6489</v>
      </c>
    </row>
    <row r="1223" spans="1:1">
      <c r="A1223" t="s">
        <v>6490</v>
      </c>
    </row>
    <row r="1224" spans="1:1">
      <c r="A1224" t="s">
        <v>6491</v>
      </c>
    </row>
    <row r="1225" spans="1:1">
      <c r="A1225" t="s">
        <v>6492</v>
      </c>
    </row>
    <row r="1226" spans="1:1">
      <c r="A1226" t="s">
        <v>6493</v>
      </c>
    </row>
    <row r="1227" spans="1:1">
      <c r="A1227" t="s">
        <v>6494</v>
      </c>
    </row>
    <row r="1228" spans="1:1">
      <c r="A1228" t="s">
        <v>6495</v>
      </c>
    </row>
    <row r="1229" spans="1:1">
      <c r="A1229" t="s">
        <v>6496</v>
      </c>
    </row>
    <row r="1230" spans="1:1">
      <c r="A1230" t="s">
        <v>6497</v>
      </c>
    </row>
    <row r="1231" spans="1:1">
      <c r="A1231" t="s">
        <v>6498</v>
      </c>
    </row>
    <row r="1232" spans="1:1">
      <c r="A1232" t="s">
        <v>6499</v>
      </c>
    </row>
    <row r="1233" spans="1:1">
      <c r="A1233" t="s">
        <v>6500</v>
      </c>
    </row>
    <row r="1234" spans="1:1">
      <c r="A1234" t="s">
        <v>6501</v>
      </c>
    </row>
    <row r="1235" spans="1:1">
      <c r="A1235" t="s">
        <v>6502</v>
      </c>
    </row>
    <row r="1236" spans="1:1">
      <c r="A1236" t="s">
        <v>6503</v>
      </c>
    </row>
    <row r="1237" spans="1:1">
      <c r="A1237" t="s">
        <v>6504</v>
      </c>
    </row>
    <row r="1238" spans="1:1">
      <c r="A1238" t="s">
        <v>6505</v>
      </c>
    </row>
    <row r="1239" spans="1:1">
      <c r="A1239" t="s">
        <v>6506</v>
      </c>
    </row>
    <row r="1240" spans="1:1">
      <c r="A1240" t="s">
        <v>6507</v>
      </c>
    </row>
    <row r="1241" spans="1:1">
      <c r="A1241" t="s">
        <v>6508</v>
      </c>
    </row>
    <row r="1242" spans="1:1">
      <c r="A1242" t="s">
        <v>6509</v>
      </c>
    </row>
    <row r="1243" spans="1:1">
      <c r="A1243" t="s">
        <v>6510</v>
      </c>
    </row>
    <row r="1244" spans="1:1">
      <c r="A1244" t="s">
        <v>6511</v>
      </c>
    </row>
    <row r="1245" spans="1:1">
      <c r="A1245" t="s">
        <v>6512</v>
      </c>
    </row>
    <row r="1246" spans="1:1">
      <c r="A1246" t="s">
        <v>6513</v>
      </c>
    </row>
    <row r="1247" spans="1:1">
      <c r="A1247" t="s">
        <v>6514</v>
      </c>
    </row>
    <row r="1248" spans="1:1">
      <c r="A1248" t="s">
        <v>6515</v>
      </c>
    </row>
    <row r="1249" spans="1:1">
      <c r="A1249" t="s">
        <v>6516</v>
      </c>
    </row>
    <row r="1250" spans="1:1">
      <c r="A1250" t="s">
        <v>6517</v>
      </c>
    </row>
    <row r="1251" spans="1:1">
      <c r="A1251" t="s">
        <v>6518</v>
      </c>
    </row>
    <row r="1252" spans="1:1">
      <c r="A1252" t="s">
        <v>6519</v>
      </c>
    </row>
    <row r="1253" spans="1:1">
      <c r="A1253" t="s">
        <v>6520</v>
      </c>
    </row>
    <row r="1254" spans="1:1">
      <c r="A1254" t="s">
        <v>6521</v>
      </c>
    </row>
    <row r="1255" spans="1:1">
      <c r="A1255" t="s">
        <v>6522</v>
      </c>
    </row>
    <row r="1256" spans="1:1">
      <c r="A1256" t="s">
        <v>6523</v>
      </c>
    </row>
    <row r="1257" spans="1:1">
      <c r="A1257" t="s">
        <v>6524</v>
      </c>
    </row>
    <row r="1258" spans="1:1">
      <c r="A1258" t="s">
        <v>6525</v>
      </c>
    </row>
    <row r="1259" spans="1:1">
      <c r="A1259" t="s">
        <v>6526</v>
      </c>
    </row>
    <row r="1260" spans="1:1">
      <c r="A1260" t="s">
        <v>6527</v>
      </c>
    </row>
    <row r="1261" spans="1:1">
      <c r="A1261" t="s">
        <v>6528</v>
      </c>
    </row>
    <row r="1262" spans="1:1">
      <c r="A1262" t="s">
        <v>6529</v>
      </c>
    </row>
    <row r="1263" spans="1:1">
      <c r="A1263" t="s">
        <v>6530</v>
      </c>
    </row>
    <row r="1264" spans="1:1">
      <c r="A1264" t="s">
        <v>6531</v>
      </c>
    </row>
    <row r="1265" spans="1:1">
      <c r="A1265" t="s">
        <v>6532</v>
      </c>
    </row>
    <row r="1266" spans="1:1">
      <c r="A1266" t="s">
        <v>6533</v>
      </c>
    </row>
    <row r="1267" spans="1:1">
      <c r="A1267" t="s">
        <v>6534</v>
      </c>
    </row>
    <row r="1268" spans="1:1">
      <c r="A1268" t="s">
        <v>6535</v>
      </c>
    </row>
    <row r="1269" spans="1:1">
      <c r="A1269" t="s">
        <v>6536</v>
      </c>
    </row>
    <row r="1270" spans="1:1">
      <c r="A1270" t="s">
        <v>6537</v>
      </c>
    </row>
    <row r="1271" spans="1:1">
      <c r="A1271" t="s">
        <v>6538</v>
      </c>
    </row>
    <row r="1272" spans="1:1">
      <c r="A1272" t="s">
        <v>6539</v>
      </c>
    </row>
    <row r="1274" spans="1:1">
      <c r="A1274" t="s">
        <v>6540</v>
      </c>
    </row>
    <row r="1276" spans="1:1">
      <c r="A1276" t="s">
        <v>6541</v>
      </c>
    </row>
    <row r="1277" spans="1:1">
      <c r="A1277" t="s">
        <v>6542</v>
      </c>
    </row>
    <row r="1278" spans="1:1">
      <c r="A1278" t="s">
        <v>6543</v>
      </c>
    </row>
    <row r="1279" spans="1:1">
      <c r="A1279" t="s">
        <v>6544</v>
      </c>
    </row>
    <row r="1280" spans="1:1">
      <c r="A1280" t="s">
        <v>6545</v>
      </c>
    </row>
    <row r="1281" spans="1:1">
      <c r="A1281">
        <v>-4</v>
      </c>
    </row>
    <row r="1282" spans="1:1">
      <c r="A1282" t="s">
        <v>6546</v>
      </c>
    </row>
    <row r="1283" spans="1:1">
      <c r="A1283">
        <v>-6</v>
      </c>
    </row>
    <row r="1284" spans="1:1">
      <c r="A1284">
        <v>-7</v>
      </c>
    </row>
    <row r="1285" spans="1:1">
      <c r="A1285">
        <v>-8</v>
      </c>
    </row>
    <row r="1286" spans="1:1">
      <c r="A1286">
        <v>-9</v>
      </c>
    </row>
    <row r="1287" spans="1:1">
      <c r="A1287" t="s">
        <v>6547</v>
      </c>
    </row>
    <row r="1288" spans="1:1">
      <c r="A1288" t="s">
        <v>6548</v>
      </c>
    </row>
    <row r="1289" spans="1:1">
      <c r="A1289" t="s">
        <v>6549</v>
      </c>
    </row>
    <row r="1290" spans="1:1">
      <c r="A1290" t="s">
        <v>6550</v>
      </c>
    </row>
    <row r="1291" spans="1:1">
      <c r="A1291" t="s">
        <v>6551</v>
      </c>
    </row>
    <row r="1292" spans="1:1">
      <c r="A1292" t="s">
        <v>6552</v>
      </c>
    </row>
    <row r="1293" spans="1:1">
      <c r="A1293">
        <v>-10</v>
      </c>
    </row>
    <row r="1294" spans="1:1">
      <c r="A1294">
        <v>-11</v>
      </c>
    </row>
    <row r="1295" spans="1:1">
      <c r="A1295">
        <v>-12</v>
      </c>
    </row>
    <row r="1296" spans="1:1">
      <c r="A1296">
        <v>-13</v>
      </c>
    </row>
    <row r="1297" spans="1:1">
      <c r="A1297" t="s">
        <v>6553</v>
      </c>
    </row>
    <row r="1298" spans="1:1">
      <c r="A1298" t="s">
        <v>6554</v>
      </c>
    </row>
    <row r="1300" spans="1:1">
      <c r="A1300" t="s">
        <v>6555</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85"/>
  <sheetViews>
    <sheetView topLeftCell="A63" zoomScaleNormal="100" workbookViewId="0"/>
  </sheetViews>
  <sheetFormatPr defaultColWidth="11.5703125" defaultRowHeight="15"/>
  <cols>
    <col min="1" max="1" width="32.85546875" customWidth="1"/>
    <col min="2" max="64" width="9.42578125" customWidth="1"/>
  </cols>
  <sheetData>
    <row r="1" spans="1:1">
      <c r="A1" t="s">
        <v>6556</v>
      </c>
    </row>
    <row r="2" spans="1:1">
      <c r="A2" t="s">
        <v>6557</v>
      </c>
    </row>
    <row r="3" spans="1:1">
      <c r="A3" t="s">
        <v>6558</v>
      </c>
    </row>
    <row r="4" spans="1:1">
      <c r="A4" t="s">
        <v>6559</v>
      </c>
    </row>
    <row r="5" spans="1:1">
      <c r="A5" t="s">
        <v>6560</v>
      </c>
    </row>
    <row r="6" spans="1:1">
      <c r="A6" t="s">
        <v>6561</v>
      </c>
    </row>
    <row r="7" spans="1:1">
      <c r="A7" t="s">
        <v>6562</v>
      </c>
    </row>
    <row r="8" spans="1:1">
      <c r="A8" t="s">
        <v>6563</v>
      </c>
    </row>
    <row r="9" spans="1:1">
      <c r="A9" t="s">
        <v>6564</v>
      </c>
    </row>
    <row r="10" spans="1:1">
      <c r="A10" t="s">
        <v>6565</v>
      </c>
    </row>
    <row r="11" spans="1:1">
      <c r="A11" t="s">
        <v>6566</v>
      </c>
    </row>
    <row r="12" spans="1:1">
      <c r="A12" t="s">
        <v>6567</v>
      </c>
    </row>
    <row r="13" spans="1:1">
      <c r="A13" t="s">
        <v>6568</v>
      </c>
    </row>
    <row r="14" spans="1:1">
      <c r="A14" t="s">
        <v>6569</v>
      </c>
    </row>
    <row r="15" spans="1:1">
      <c r="A15" t="s">
        <v>6570</v>
      </c>
    </row>
    <row r="16" spans="1:1">
      <c r="A16" t="s">
        <v>6571</v>
      </c>
    </row>
    <row r="17" spans="1:1">
      <c r="A17" t="s">
        <v>6572</v>
      </c>
    </row>
    <row r="18" spans="1:1">
      <c r="A18" t="s">
        <v>6573</v>
      </c>
    </row>
    <row r="19" spans="1:1">
      <c r="A19" t="s">
        <v>6574</v>
      </c>
    </row>
    <row r="20" spans="1:1">
      <c r="A20" t="s">
        <v>6575</v>
      </c>
    </row>
    <row r="21" spans="1:1">
      <c r="A21" t="s">
        <v>6576</v>
      </c>
    </row>
    <row r="22" spans="1:1">
      <c r="A22" t="s">
        <v>6577</v>
      </c>
    </row>
    <row r="23" spans="1:1">
      <c r="A23" t="s">
        <v>6578</v>
      </c>
    </row>
    <row r="24" spans="1:1">
      <c r="A24" t="s">
        <v>6579</v>
      </c>
    </row>
    <row r="25" spans="1:1">
      <c r="A25" t="s">
        <v>6580</v>
      </c>
    </row>
    <row r="26" spans="1:1">
      <c r="A26" t="s">
        <v>6581</v>
      </c>
    </row>
    <row r="27" spans="1:1">
      <c r="A27" t="s">
        <v>6582</v>
      </c>
    </row>
    <row r="28" spans="1:1">
      <c r="A28" t="s">
        <v>6583</v>
      </c>
    </row>
    <row r="29" spans="1:1">
      <c r="A29" t="s">
        <v>6584</v>
      </c>
    </row>
    <row r="30" spans="1:1">
      <c r="A30" t="s">
        <v>6585</v>
      </c>
    </row>
    <row r="31" spans="1:1">
      <c r="A31" t="s">
        <v>6586</v>
      </c>
    </row>
    <row r="32" spans="1:1">
      <c r="A32" t="s">
        <v>6587</v>
      </c>
    </row>
    <row r="33" spans="1:1">
      <c r="A33" t="s">
        <v>6588</v>
      </c>
    </row>
    <row r="34" spans="1:1">
      <c r="A34" t="s">
        <v>6589</v>
      </c>
    </row>
    <row r="35" spans="1:1">
      <c r="A35" t="s">
        <v>6590</v>
      </c>
    </row>
    <row r="36" spans="1:1">
      <c r="A36" t="s">
        <v>6591</v>
      </c>
    </row>
    <row r="37" spans="1:1">
      <c r="A37" t="s">
        <v>6592</v>
      </c>
    </row>
    <row r="38" spans="1:1">
      <c r="A38" t="s">
        <v>6593</v>
      </c>
    </row>
    <row r="39" spans="1:1">
      <c r="A39" t="s">
        <v>6594</v>
      </c>
    </row>
    <row r="40" spans="1:1">
      <c r="A40" t="s">
        <v>6595</v>
      </c>
    </row>
    <row r="41" spans="1:1">
      <c r="A41" t="s">
        <v>6596</v>
      </c>
    </row>
    <row r="42" spans="1:1">
      <c r="A42" t="s">
        <v>6597</v>
      </c>
    </row>
    <row r="43" spans="1:1">
      <c r="A43" t="s">
        <v>6598</v>
      </c>
    </row>
    <row r="44" spans="1:1">
      <c r="A44" t="s">
        <v>6599</v>
      </c>
    </row>
    <row r="45" spans="1:1">
      <c r="A45" t="s">
        <v>6600</v>
      </c>
    </row>
    <row r="46" spans="1:1">
      <c r="A46" t="s">
        <v>6601</v>
      </c>
    </row>
    <row r="47" spans="1:1">
      <c r="A47" t="s">
        <v>6602</v>
      </c>
    </row>
    <row r="48" spans="1:1">
      <c r="A48" t="s">
        <v>6603</v>
      </c>
    </row>
    <row r="49" spans="1:1">
      <c r="A49" t="s">
        <v>6604</v>
      </c>
    </row>
    <row r="50" spans="1:1">
      <c r="A50" t="s">
        <v>6605</v>
      </c>
    </row>
    <row r="51" spans="1:1">
      <c r="A51" t="s">
        <v>6606</v>
      </c>
    </row>
    <row r="52" spans="1:1">
      <c r="A52" t="s">
        <v>6607</v>
      </c>
    </row>
    <row r="53" spans="1:1">
      <c r="A53" t="s">
        <v>6608</v>
      </c>
    </row>
    <row r="54" spans="1:1">
      <c r="A54" t="s">
        <v>6609</v>
      </c>
    </row>
    <row r="55" spans="1:1">
      <c r="A55" t="s">
        <v>6610</v>
      </c>
    </row>
    <row r="56" spans="1:1">
      <c r="A56" t="s">
        <v>6611</v>
      </c>
    </row>
    <row r="57" spans="1:1">
      <c r="A57" t="s">
        <v>6612</v>
      </c>
    </row>
    <row r="58" spans="1:1">
      <c r="A58" t="s">
        <v>6613</v>
      </c>
    </row>
    <row r="59" spans="1:1">
      <c r="A59" t="s">
        <v>6614</v>
      </c>
    </row>
    <row r="60" spans="1:1">
      <c r="A60" t="s">
        <v>6615</v>
      </c>
    </row>
    <row r="61" spans="1:1">
      <c r="A61" t="s">
        <v>6616</v>
      </c>
    </row>
    <row r="62" spans="1:1">
      <c r="A62" t="s">
        <v>6617</v>
      </c>
    </row>
    <row r="63" spans="1:1">
      <c r="A63" t="s">
        <v>6618</v>
      </c>
    </row>
    <row r="64" spans="1:1">
      <c r="A64" t="s">
        <v>6619</v>
      </c>
    </row>
    <row r="65" spans="1:1">
      <c r="A65">
        <v>41</v>
      </c>
    </row>
    <row r="66" spans="1:1">
      <c r="A66">
        <v>42</v>
      </c>
    </row>
    <row r="67" spans="1:1">
      <c r="A67">
        <v>43</v>
      </c>
    </row>
    <row r="68" spans="1:1">
      <c r="A68">
        <v>44</v>
      </c>
    </row>
    <row r="69" spans="1:1">
      <c r="A69">
        <v>45</v>
      </c>
    </row>
    <row r="70" spans="1:1">
      <c r="A70" t="s">
        <v>6620</v>
      </c>
    </row>
    <row r="71" spans="1:1">
      <c r="A71" t="s">
        <v>6621</v>
      </c>
    </row>
    <row r="72" spans="1:1">
      <c r="A72" t="s">
        <v>6622</v>
      </c>
    </row>
    <row r="73" spans="1:1">
      <c r="A73" t="s">
        <v>6623</v>
      </c>
    </row>
    <row r="74" spans="1:1">
      <c r="A74" t="s">
        <v>6624</v>
      </c>
    </row>
    <row r="75" spans="1:1">
      <c r="A75" t="s">
        <v>6625</v>
      </c>
    </row>
    <row r="76" spans="1:1">
      <c r="A76" t="s">
        <v>6626</v>
      </c>
    </row>
    <row r="77" spans="1:1">
      <c r="A77" t="s">
        <v>6627</v>
      </c>
    </row>
    <row r="78" spans="1:1">
      <c r="A78" t="s">
        <v>6628</v>
      </c>
    </row>
    <row r="79" spans="1:1">
      <c r="A79" t="s">
        <v>6629</v>
      </c>
    </row>
    <row r="80" spans="1:1">
      <c r="A80" t="s">
        <v>6630</v>
      </c>
    </row>
    <row r="81" spans="1:1">
      <c r="A81" t="s">
        <v>6631</v>
      </c>
    </row>
    <row r="82" spans="1:1">
      <c r="A82" t="s">
        <v>6632</v>
      </c>
    </row>
    <row r="83" spans="1:1">
      <c r="A83" t="s">
        <v>6633</v>
      </c>
    </row>
    <row r="84" spans="1:1">
      <c r="A84" t="s">
        <v>6634</v>
      </c>
    </row>
    <row r="85" spans="1:1">
      <c r="A85" t="s">
        <v>6635</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35"/>
  <sheetViews>
    <sheetView zoomScaleNormal="100" workbookViewId="0"/>
  </sheetViews>
  <sheetFormatPr defaultColWidth="11.5703125" defaultRowHeight="15"/>
  <cols>
    <col min="1" max="1" width="58.5703125" customWidth="1"/>
    <col min="2" max="64" width="9.42578125" customWidth="1"/>
  </cols>
  <sheetData>
    <row r="1" spans="1:1">
      <c r="A1" s="74" t="s">
        <v>6636</v>
      </c>
    </row>
    <row r="2" spans="1:1">
      <c r="A2" s="74" t="s">
        <v>6637</v>
      </c>
    </row>
    <row r="3" spans="1:1">
      <c r="A3" s="74" t="s">
        <v>6638</v>
      </c>
    </row>
    <row r="4" spans="1:1">
      <c r="A4" s="74" t="s">
        <v>6639</v>
      </c>
    </row>
    <row r="5" spans="1:1" ht="27">
      <c r="A5" s="74" t="s">
        <v>6640</v>
      </c>
    </row>
    <row r="6" spans="1:1">
      <c r="A6" s="74" t="s">
        <v>6641</v>
      </c>
    </row>
    <row r="7" spans="1:1" ht="27">
      <c r="A7" s="74" t="s">
        <v>6642</v>
      </c>
    </row>
    <row r="8" spans="1:1">
      <c r="A8" s="74" t="s">
        <v>6643</v>
      </c>
    </row>
    <row r="9" spans="1:1">
      <c r="A9" s="74" t="s">
        <v>6644</v>
      </c>
    </row>
    <row r="10" spans="1:1">
      <c r="A10" s="74" t="s">
        <v>6645</v>
      </c>
    </row>
    <row r="11" spans="1:1">
      <c r="A11" s="74" t="s">
        <v>6646</v>
      </c>
    </row>
    <row r="12" spans="1:1">
      <c r="A12" s="74" t="s">
        <v>6647</v>
      </c>
    </row>
    <row r="13" spans="1:1">
      <c r="A13" s="74" t="s">
        <v>6648</v>
      </c>
    </row>
    <row r="14" spans="1:1">
      <c r="A14" s="74" t="s">
        <v>6649</v>
      </c>
    </row>
    <row r="15" spans="1:1">
      <c r="A15" s="74" t="s">
        <v>6650</v>
      </c>
    </row>
    <row r="16" spans="1:1">
      <c r="A16" s="74" t="s">
        <v>6651</v>
      </c>
    </row>
    <row r="17" spans="1:1">
      <c r="A17" s="74" t="s">
        <v>6652</v>
      </c>
    </row>
    <row r="18" spans="1:1">
      <c r="A18" s="74" t="s">
        <v>6653</v>
      </c>
    </row>
    <row r="19" spans="1:1" ht="27">
      <c r="A19" s="74" t="s">
        <v>6654</v>
      </c>
    </row>
    <row r="20" spans="1:1">
      <c r="A20" s="74" t="s">
        <v>6655</v>
      </c>
    </row>
    <row r="21" spans="1:1">
      <c r="A21" s="74" t="s">
        <v>6656</v>
      </c>
    </row>
    <row r="22" spans="1:1">
      <c r="A22" s="74" t="s">
        <v>6657</v>
      </c>
    </row>
    <row r="23" spans="1:1">
      <c r="A23" s="74" t="s">
        <v>6658</v>
      </c>
    </row>
    <row r="24" spans="1:1" ht="27">
      <c r="A24" s="74" t="s">
        <v>6659</v>
      </c>
    </row>
    <row r="25" spans="1:1">
      <c r="A25" s="74" t="s">
        <v>6660</v>
      </c>
    </row>
    <row r="26" spans="1:1">
      <c r="A26" s="74" t="s">
        <v>6661</v>
      </c>
    </row>
    <row r="27" spans="1:1">
      <c r="A27" s="74" t="s">
        <v>6662</v>
      </c>
    </row>
    <row r="28" spans="1:1">
      <c r="A28" s="74" t="s">
        <v>6663</v>
      </c>
    </row>
    <row r="29" spans="1:1">
      <c r="A29" s="74" t="s">
        <v>6664</v>
      </c>
    </row>
    <row r="30" spans="1:1">
      <c r="A30" s="74" t="s">
        <v>6665</v>
      </c>
    </row>
    <row r="31" spans="1:1" ht="27">
      <c r="A31" s="74" t="s">
        <v>6666</v>
      </c>
    </row>
    <row r="32" spans="1:1" ht="27">
      <c r="A32" s="74" t="s">
        <v>6667</v>
      </c>
    </row>
    <row r="33" spans="1:1" ht="27">
      <c r="A33" s="74" t="s">
        <v>6668</v>
      </c>
    </row>
    <row r="34" spans="1:1" ht="27">
      <c r="A34" s="74" t="s">
        <v>6669</v>
      </c>
    </row>
    <row r="35" spans="1:1">
      <c r="A35" s="74" t="s">
        <v>6670</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2:AMJ40"/>
  <sheetViews>
    <sheetView zoomScaleNormal="100" workbookViewId="0">
      <selection activeCell="B13" sqref="B13"/>
    </sheetView>
  </sheetViews>
  <sheetFormatPr defaultColWidth="11.5703125" defaultRowHeight="15"/>
  <cols>
    <col min="1" max="1" width="32.7109375" style="4" customWidth="1"/>
    <col min="2" max="2" width="42.28515625" style="4" customWidth="1"/>
    <col min="3" max="1024" width="11.7109375" style="4" customWidth="1"/>
  </cols>
  <sheetData>
    <row r="2" spans="1:4">
      <c r="A2" s="4" t="s">
        <v>6671</v>
      </c>
      <c r="C2" s="4" t="s">
        <v>3478</v>
      </c>
      <c r="D2" s="4" t="s">
        <v>6672</v>
      </c>
    </row>
    <row r="3" spans="1:4">
      <c r="A3" s="4" t="s">
        <v>6673</v>
      </c>
      <c r="B3" s="4" t="s">
        <v>6674</v>
      </c>
      <c r="C3" s="4" t="s">
        <v>3483</v>
      </c>
    </row>
    <row r="4" spans="1:4">
      <c r="A4" s="4" t="s">
        <v>6675</v>
      </c>
      <c r="B4" s="4" t="s">
        <v>6676</v>
      </c>
      <c r="C4" s="4" t="s">
        <v>3508</v>
      </c>
    </row>
    <row r="5" spans="1:4">
      <c r="A5" s="4" t="s">
        <v>6677</v>
      </c>
      <c r="B5" s="4" t="s">
        <v>6678</v>
      </c>
      <c r="C5" s="4" t="s">
        <v>3511</v>
      </c>
    </row>
    <row r="6" spans="1:4">
      <c r="A6" s="4" t="s">
        <v>6679</v>
      </c>
      <c r="B6" s="4" t="s">
        <v>6680</v>
      </c>
      <c r="C6" s="4" t="s">
        <v>3502</v>
      </c>
    </row>
    <row r="7" spans="1:4">
      <c r="A7" s="4" t="s">
        <v>6681</v>
      </c>
      <c r="B7" s="4" t="s">
        <v>6682</v>
      </c>
      <c r="C7" s="4" t="s">
        <v>3493</v>
      </c>
    </row>
    <row r="8" spans="1:4">
      <c r="A8" s="4" t="s">
        <v>6683</v>
      </c>
      <c r="B8" s="4" t="s">
        <v>6684</v>
      </c>
      <c r="C8" s="4" t="s">
        <v>3551</v>
      </c>
    </row>
    <row r="9" spans="1:4">
      <c r="A9" s="4" t="s">
        <v>6685</v>
      </c>
      <c r="B9" s="4" t="s">
        <v>6686</v>
      </c>
      <c r="C9" s="4" t="s">
        <v>5068</v>
      </c>
    </row>
    <row r="10" spans="1:4">
      <c r="A10" s="4" t="s">
        <v>6687</v>
      </c>
      <c r="B10" s="4" t="s">
        <v>6688</v>
      </c>
      <c r="C10" s="4" t="s">
        <v>3487</v>
      </c>
    </row>
    <row r="12" spans="1:4">
      <c r="A12" s="4" t="s">
        <v>6671</v>
      </c>
      <c r="C12" s="4" t="s">
        <v>3478</v>
      </c>
    </row>
    <row r="13" spans="1:4">
      <c r="A13" s="4" t="s">
        <v>6673</v>
      </c>
      <c r="B13" s="4" t="s">
        <v>6689</v>
      </c>
      <c r="C13" s="4" t="s">
        <v>3483</v>
      </c>
    </row>
    <row r="14" spans="1:4">
      <c r="A14" s="4" t="s">
        <v>6675</v>
      </c>
      <c r="B14" s="4" t="s">
        <v>6690</v>
      </c>
      <c r="C14" s="4" t="s">
        <v>3508</v>
      </c>
    </row>
    <row r="15" spans="1:4">
      <c r="A15" s="4" t="s">
        <v>6677</v>
      </c>
      <c r="B15" s="4" t="s">
        <v>6691</v>
      </c>
      <c r="C15" s="4" t="s">
        <v>3511</v>
      </c>
    </row>
    <row r="16" spans="1:4">
      <c r="A16" s="4" t="s">
        <v>6679</v>
      </c>
      <c r="B16" s="4" t="s">
        <v>6692</v>
      </c>
      <c r="C16" s="4" t="s">
        <v>3502</v>
      </c>
    </row>
    <row r="17" spans="1:4">
      <c r="A17" s="4" t="s">
        <v>6681</v>
      </c>
      <c r="C17" s="4" t="s">
        <v>3493</v>
      </c>
    </row>
    <row r="18" spans="1:4">
      <c r="A18" s="4" t="s">
        <v>6683</v>
      </c>
      <c r="C18" s="4" t="s">
        <v>3551</v>
      </c>
    </row>
    <row r="19" spans="1:4">
      <c r="A19" s="4" t="s">
        <v>6685</v>
      </c>
      <c r="C19" s="4" t="s">
        <v>5068</v>
      </c>
    </row>
    <row r="20" spans="1:4">
      <c r="A20" s="4" t="s">
        <v>6687</v>
      </c>
      <c r="C20" s="4" t="s">
        <v>3487</v>
      </c>
    </row>
    <row r="22" spans="1:4">
      <c r="A22" s="4" t="s">
        <v>6671</v>
      </c>
      <c r="C22" s="4" t="s">
        <v>3478</v>
      </c>
    </row>
    <row r="23" spans="1:4">
      <c r="A23" s="4" t="s">
        <v>6673</v>
      </c>
      <c r="C23" s="4" t="s">
        <v>3483</v>
      </c>
    </row>
    <row r="24" spans="1:4">
      <c r="A24" s="4" t="s">
        <v>6675</v>
      </c>
      <c r="C24" s="4" t="s">
        <v>3508</v>
      </c>
    </row>
    <row r="25" spans="1:4">
      <c r="A25" s="4" t="s">
        <v>6677</v>
      </c>
      <c r="C25" s="4" t="s">
        <v>3511</v>
      </c>
    </row>
    <row r="26" spans="1:4">
      <c r="A26" s="4" t="s">
        <v>6679</v>
      </c>
      <c r="C26" s="4" t="s">
        <v>3502</v>
      </c>
    </row>
    <row r="27" spans="1:4">
      <c r="A27" s="4" t="s">
        <v>6681</v>
      </c>
      <c r="C27" s="4" t="s">
        <v>3493</v>
      </c>
    </row>
    <row r="28" spans="1:4">
      <c r="A28" s="4" t="s">
        <v>6683</v>
      </c>
      <c r="C28" s="4" t="s">
        <v>3551</v>
      </c>
    </row>
    <row r="29" spans="1:4">
      <c r="A29" s="4" t="s">
        <v>6685</v>
      </c>
      <c r="C29" s="4" t="s">
        <v>5068</v>
      </c>
      <c r="D29" s="4" t="s">
        <v>6693</v>
      </c>
    </row>
    <row r="30" spans="1:4">
      <c r="A30" s="4" t="s">
        <v>6687</v>
      </c>
      <c r="C30" s="4" t="s">
        <v>3487</v>
      </c>
    </row>
    <row r="32" spans="1:4">
      <c r="A32" s="4" t="s">
        <v>6671</v>
      </c>
      <c r="C32" s="4" t="s">
        <v>3478</v>
      </c>
    </row>
    <row r="33" spans="1:3">
      <c r="A33" s="4" t="s">
        <v>6673</v>
      </c>
      <c r="C33" s="4" t="s">
        <v>3483</v>
      </c>
    </row>
    <row r="34" spans="1:3">
      <c r="A34" s="4" t="s">
        <v>6675</v>
      </c>
      <c r="C34" s="4" t="s">
        <v>3508</v>
      </c>
    </row>
    <row r="35" spans="1:3">
      <c r="A35" s="4" t="s">
        <v>6677</v>
      </c>
      <c r="C35" s="4" t="s">
        <v>3511</v>
      </c>
    </row>
    <row r="36" spans="1:3">
      <c r="A36" s="4" t="s">
        <v>6679</v>
      </c>
      <c r="C36" s="4" t="s">
        <v>3502</v>
      </c>
    </row>
    <row r="37" spans="1:3">
      <c r="A37" s="4" t="s">
        <v>6681</v>
      </c>
      <c r="B37" s="4" t="s">
        <v>6694</v>
      </c>
      <c r="C37" s="4" t="s">
        <v>3493</v>
      </c>
    </row>
    <row r="38" spans="1:3">
      <c r="A38" s="4" t="s">
        <v>6683</v>
      </c>
      <c r="C38" s="4" t="s">
        <v>3551</v>
      </c>
    </row>
    <row r="39" spans="1:3">
      <c r="A39" s="4" t="s">
        <v>6685</v>
      </c>
      <c r="C39" s="4" t="s">
        <v>5068</v>
      </c>
    </row>
    <row r="40" spans="1:3">
      <c r="A40" s="4" t="s">
        <v>6687</v>
      </c>
      <c r="C40" s="4" t="s">
        <v>3487</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G87"/>
  <sheetViews>
    <sheetView topLeftCell="A34" zoomScaleNormal="100" workbookViewId="0">
      <selection activeCell="B51" sqref="B51"/>
    </sheetView>
  </sheetViews>
  <sheetFormatPr defaultColWidth="11.5703125" defaultRowHeight="15"/>
  <cols>
    <col min="1" max="1" width="9.85546875" style="4" customWidth="1"/>
    <col min="2" max="2" width="64" customWidth="1"/>
    <col min="3" max="3" width="28.7109375" customWidth="1"/>
    <col min="4" max="5" width="9.42578125" customWidth="1"/>
    <col min="6" max="7" width="9.42578125" hidden="1" customWidth="1"/>
    <col min="8" max="64" width="9.42578125" customWidth="1"/>
  </cols>
  <sheetData>
    <row r="1" spans="1:2">
      <c r="A1" s="4" t="s">
        <v>3483</v>
      </c>
      <c r="B1" t="s">
        <v>6695</v>
      </c>
    </row>
    <row r="2" spans="1:2">
      <c r="A2" s="4" t="s">
        <v>3508</v>
      </c>
      <c r="B2" t="s">
        <v>6678</v>
      </c>
    </row>
    <row r="3" spans="1:2">
      <c r="A3" s="4" t="s">
        <v>4099</v>
      </c>
      <c r="B3" t="s">
        <v>6696</v>
      </c>
    </row>
    <row r="4" spans="1:2">
      <c r="A4" s="4" t="s">
        <v>3511</v>
      </c>
      <c r="B4" t="s">
        <v>6697</v>
      </c>
    </row>
    <row r="5" spans="1:2">
      <c r="A5" s="4" t="s">
        <v>4102</v>
      </c>
      <c r="B5" t="s">
        <v>6698</v>
      </c>
    </row>
    <row r="6" spans="1:2">
      <c r="A6" s="4" t="s">
        <v>4104</v>
      </c>
      <c r="B6" t="s">
        <v>6699</v>
      </c>
    </row>
    <row r="7" spans="1:2">
      <c r="A7" s="4" t="s">
        <v>3950</v>
      </c>
      <c r="B7" t="s">
        <v>6700</v>
      </c>
    </row>
    <row r="8" spans="1:2">
      <c r="A8" s="4" t="s">
        <v>3502</v>
      </c>
      <c r="B8" t="s">
        <v>6701</v>
      </c>
    </row>
    <row r="9" spans="1:2">
      <c r="A9" s="4" t="s">
        <v>3505</v>
      </c>
      <c r="B9" t="s">
        <v>6701</v>
      </c>
    </row>
    <row r="10" spans="1:2">
      <c r="A10" s="4" t="s">
        <v>1952</v>
      </c>
      <c r="B10" t="s">
        <v>6702</v>
      </c>
    </row>
    <row r="11" spans="1:2">
      <c r="A11" s="4" t="s">
        <v>4110</v>
      </c>
      <c r="B11" t="s">
        <v>6701</v>
      </c>
    </row>
    <row r="12" spans="1:2">
      <c r="A12" s="4" t="s">
        <v>4994</v>
      </c>
      <c r="B12" t="s">
        <v>6703</v>
      </c>
    </row>
    <row r="13" spans="1:2">
      <c r="A13" s="4" t="s">
        <v>4113</v>
      </c>
      <c r="B13" t="s">
        <v>6704</v>
      </c>
    </row>
    <row r="14" spans="1:2">
      <c r="A14" s="4" t="s">
        <v>4997</v>
      </c>
      <c r="B14" t="s">
        <v>6705</v>
      </c>
    </row>
    <row r="15" spans="1:2">
      <c r="A15" s="4" t="s">
        <v>1956</v>
      </c>
      <c r="B15" t="s">
        <v>6706</v>
      </c>
    </row>
    <row r="16" spans="1:2">
      <c r="A16" s="4" t="s">
        <v>3493</v>
      </c>
      <c r="B16" t="s">
        <v>6707</v>
      </c>
    </row>
    <row r="17" spans="1:2">
      <c r="A17" s="4" t="s">
        <v>5001</v>
      </c>
      <c r="B17" t="s">
        <v>6708</v>
      </c>
    </row>
    <row r="18" spans="1:2">
      <c r="A18" s="4" t="s">
        <v>3953</v>
      </c>
      <c r="B18" t="s">
        <v>6709</v>
      </c>
    </row>
    <row r="19" spans="1:2">
      <c r="A19" s="4" t="s">
        <v>5004</v>
      </c>
      <c r="B19" t="s">
        <v>6710</v>
      </c>
    </row>
    <row r="20" spans="1:2">
      <c r="A20" s="4" t="s">
        <v>5010</v>
      </c>
      <c r="B20" t="s">
        <v>6711</v>
      </c>
    </row>
    <row r="21" spans="1:2">
      <c r="A21" s="4" t="s">
        <v>5011</v>
      </c>
      <c r="B21" t="s">
        <v>6712</v>
      </c>
    </row>
    <row r="22" spans="1:2">
      <c r="A22" s="4" t="s">
        <v>5012</v>
      </c>
      <c r="B22" t="s">
        <v>6713</v>
      </c>
    </row>
    <row r="23" spans="1:2">
      <c r="A23" s="4" t="s">
        <v>5013</v>
      </c>
      <c r="B23" t="s">
        <v>6714</v>
      </c>
    </row>
    <row r="24" spans="1:2">
      <c r="A24" s="4" t="s">
        <v>5014</v>
      </c>
      <c r="B24" t="s">
        <v>6715</v>
      </c>
    </row>
    <row r="25" spans="1:2">
      <c r="A25" s="4" t="s">
        <v>5015</v>
      </c>
      <c r="B25" t="s">
        <v>6716</v>
      </c>
    </row>
    <row r="26" spans="1:2">
      <c r="A26" s="4" t="s">
        <v>5016</v>
      </c>
      <c r="B26" t="s">
        <v>6717</v>
      </c>
    </row>
    <row r="27" spans="1:2">
      <c r="A27" s="4" t="s">
        <v>5018</v>
      </c>
      <c r="B27" t="s">
        <v>6718</v>
      </c>
    </row>
    <row r="28" spans="1:2">
      <c r="A28" s="4" t="s">
        <v>1966</v>
      </c>
      <c r="B28" t="s">
        <v>6719</v>
      </c>
    </row>
    <row r="29" spans="1:2">
      <c r="A29" s="4" t="s">
        <v>5021</v>
      </c>
      <c r="B29" t="s">
        <v>6720</v>
      </c>
    </row>
    <row r="30" spans="1:2">
      <c r="A30" s="4" t="s">
        <v>3551</v>
      </c>
      <c r="B30" t="s">
        <v>6721</v>
      </c>
    </row>
    <row r="31" spans="1:2">
      <c r="A31" s="4" t="s">
        <v>3496</v>
      </c>
      <c r="B31" t="s">
        <v>6722</v>
      </c>
    </row>
    <row r="32" spans="1:2">
      <c r="A32" s="4" t="s">
        <v>5023</v>
      </c>
      <c r="B32" t="s">
        <v>6723</v>
      </c>
    </row>
    <row r="33" spans="1:2">
      <c r="A33" s="4" t="s">
        <v>5024</v>
      </c>
      <c r="B33" t="s">
        <v>6724</v>
      </c>
    </row>
    <row r="34" spans="1:2">
      <c r="A34" s="4" t="s">
        <v>5025</v>
      </c>
      <c r="B34" t="s">
        <v>6725</v>
      </c>
    </row>
    <row r="35" spans="1:2">
      <c r="A35" s="4" t="s">
        <v>5026</v>
      </c>
      <c r="B35" t="s">
        <v>6726</v>
      </c>
    </row>
    <row r="36" spans="1:2">
      <c r="A36" s="4" t="s">
        <v>5037</v>
      </c>
      <c r="B36" t="s">
        <v>6727</v>
      </c>
    </row>
    <row r="37" spans="1:2">
      <c r="A37" s="4" t="s">
        <v>3499</v>
      </c>
      <c r="B37" t="s">
        <v>6728</v>
      </c>
    </row>
    <row r="38" spans="1:2">
      <c r="A38" s="4" t="s">
        <v>3404</v>
      </c>
      <c r="B38" t="s">
        <v>6729</v>
      </c>
    </row>
    <row r="39" spans="1:2">
      <c r="A39" s="4" t="s">
        <v>5047</v>
      </c>
      <c r="B39" t="s">
        <v>6730</v>
      </c>
    </row>
    <row r="40" spans="1:2">
      <c r="A40" s="4" t="s">
        <v>5051</v>
      </c>
      <c r="B40" t="s">
        <v>6731</v>
      </c>
    </row>
    <row r="41" spans="1:2">
      <c r="A41" s="4" t="s">
        <v>5053</v>
      </c>
      <c r="B41" t="s">
        <v>6732</v>
      </c>
    </row>
    <row r="42" spans="1:2">
      <c r="A42" s="4" t="s">
        <v>5055</v>
      </c>
      <c r="B42" t="s">
        <v>6733</v>
      </c>
    </row>
    <row r="43" spans="1:2">
      <c r="A43" s="4" t="s">
        <v>5057</v>
      </c>
      <c r="B43" t="s">
        <v>6734</v>
      </c>
    </row>
    <row r="44" spans="1:2">
      <c r="A44" s="4" t="s">
        <v>5059</v>
      </c>
      <c r="B44" t="s">
        <v>6735</v>
      </c>
    </row>
    <row r="45" spans="1:2">
      <c r="A45" s="4" t="s">
        <v>5061</v>
      </c>
      <c r="B45" t="s">
        <v>6736</v>
      </c>
    </row>
    <row r="46" spans="1:2">
      <c r="A46" s="4" t="s">
        <v>1986</v>
      </c>
      <c r="B46" t="s">
        <v>6737</v>
      </c>
    </row>
    <row r="47" spans="1:2">
      <c r="A47" s="4" t="s">
        <v>5064</v>
      </c>
      <c r="B47" t="s">
        <v>6738</v>
      </c>
    </row>
    <row r="48" spans="1:2">
      <c r="A48" s="4" t="s">
        <v>5067</v>
      </c>
      <c r="B48" t="s">
        <v>6739</v>
      </c>
    </row>
    <row r="49" spans="1:3">
      <c r="A49" s="4" t="s">
        <v>5068</v>
      </c>
      <c r="B49" t="s">
        <v>6740</v>
      </c>
    </row>
    <row r="50" spans="1:3">
      <c r="A50" s="4" t="s">
        <v>3515</v>
      </c>
      <c r="B50" t="s">
        <v>6741</v>
      </c>
    </row>
    <row r="51" spans="1:3">
      <c r="A51" s="4" t="s">
        <v>5075</v>
      </c>
      <c r="B51" t="s">
        <v>6742</v>
      </c>
    </row>
    <row r="52" spans="1:3">
      <c r="A52" s="4" t="s">
        <v>5081</v>
      </c>
      <c r="B52" t="s">
        <v>6743</v>
      </c>
    </row>
    <row r="53" spans="1:3">
      <c r="A53" s="4" t="s">
        <v>5082</v>
      </c>
      <c r="B53" t="s">
        <v>6744</v>
      </c>
    </row>
    <row r="54" spans="1:3">
      <c r="A54" s="4" t="s">
        <v>1993</v>
      </c>
      <c r="B54" t="s">
        <v>6745</v>
      </c>
    </row>
    <row r="55" spans="1:3">
      <c r="A55" s="4" t="s">
        <v>1997</v>
      </c>
      <c r="B55" t="s">
        <v>6746</v>
      </c>
      <c r="C55" t="s">
        <v>6747</v>
      </c>
    </row>
    <row r="56" spans="1:3">
      <c r="A56" s="4" t="s">
        <v>2001</v>
      </c>
      <c r="B56" t="s">
        <v>6746</v>
      </c>
    </row>
    <row r="57" spans="1:3">
      <c r="A57" s="4" t="s">
        <v>2005</v>
      </c>
      <c r="B57" t="s">
        <v>6748</v>
      </c>
    </row>
    <row r="58" spans="1:3">
      <c r="A58" s="4" t="s">
        <v>2009</v>
      </c>
      <c r="B58" t="s">
        <v>6749</v>
      </c>
    </row>
    <row r="59" spans="1:3">
      <c r="A59" s="4" t="s">
        <v>2013</v>
      </c>
      <c r="B59" t="s">
        <v>6750</v>
      </c>
    </row>
    <row r="60" spans="1:3">
      <c r="A60" s="4" t="s">
        <v>3518</v>
      </c>
      <c r="B60" t="s">
        <v>6751</v>
      </c>
    </row>
    <row r="61" spans="1:3">
      <c r="A61" s="4" t="s">
        <v>5096</v>
      </c>
      <c r="B61" t="s">
        <v>6752</v>
      </c>
    </row>
    <row r="62" spans="1:3">
      <c r="A62" s="4" t="s">
        <v>5106</v>
      </c>
      <c r="B62" t="s">
        <v>6753</v>
      </c>
    </row>
    <row r="63" spans="1:3">
      <c r="A63" s="4" t="s">
        <v>5108</v>
      </c>
      <c r="B63" t="s">
        <v>6754</v>
      </c>
    </row>
    <row r="64" spans="1:3">
      <c r="A64" s="4" t="s">
        <v>5109</v>
      </c>
      <c r="B64" t="s">
        <v>6755</v>
      </c>
    </row>
    <row r="65" spans="1:2">
      <c r="A65" s="4" t="s">
        <v>266</v>
      </c>
      <c r="B65" t="s">
        <v>6756</v>
      </c>
    </row>
    <row r="66" spans="1:2">
      <c r="A66" s="4" t="s">
        <v>5111</v>
      </c>
      <c r="B66" t="s">
        <v>6757</v>
      </c>
    </row>
    <row r="67" spans="1:2">
      <c r="A67" s="4" t="s">
        <v>5113</v>
      </c>
      <c r="B67" t="s">
        <v>6758</v>
      </c>
    </row>
    <row r="68" spans="1:2">
      <c r="A68" s="4" t="s">
        <v>5121</v>
      </c>
      <c r="B68" t="s">
        <v>6759</v>
      </c>
    </row>
    <row r="69" spans="1:2">
      <c r="A69" s="4" t="s">
        <v>5129</v>
      </c>
      <c r="B69" t="s">
        <v>1557</v>
      </c>
    </row>
    <row r="70" spans="1:2">
      <c r="A70" s="4" t="s">
        <v>2020</v>
      </c>
      <c r="B70" t="s">
        <v>1562</v>
      </c>
    </row>
    <row r="71" spans="1:2">
      <c r="A71" s="4" t="s">
        <v>5131</v>
      </c>
      <c r="B71" t="s">
        <v>1567</v>
      </c>
    </row>
    <row r="72" spans="1:2">
      <c r="A72" s="4" t="s">
        <v>5133</v>
      </c>
      <c r="B72" t="s">
        <v>1572</v>
      </c>
    </row>
    <row r="73" spans="1:2">
      <c r="A73" s="4" t="s">
        <v>5135</v>
      </c>
      <c r="B73" t="s">
        <v>6760</v>
      </c>
    </row>
    <row r="74" spans="1:2">
      <c r="A74" s="4" t="s">
        <v>5137</v>
      </c>
      <c r="B74" t="s">
        <v>6761</v>
      </c>
    </row>
    <row r="75" spans="1:2">
      <c r="A75" s="4" t="s">
        <v>5139</v>
      </c>
    </row>
    <row r="76" spans="1:2">
      <c r="A76" s="4" t="s">
        <v>5142</v>
      </c>
      <c r="B76" t="s">
        <v>6762</v>
      </c>
    </row>
    <row r="77" spans="1:2">
      <c r="A77" s="4" t="s">
        <v>5143</v>
      </c>
      <c r="B77" t="s">
        <v>6763</v>
      </c>
    </row>
    <row r="78" spans="1:2">
      <c r="A78" s="4" t="s">
        <v>5144</v>
      </c>
      <c r="B78" t="s">
        <v>6764</v>
      </c>
    </row>
    <row r="79" spans="1:2">
      <c r="A79" s="4" t="s">
        <v>5146</v>
      </c>
      <c r="B79" t="s">
        <v>6765</v>
      </c>
    </row>
    <row r="80" spans="1:2">
      <c r="A80" s="4" t="s">
        <v>5148</v>
      </c>
      <c r="B80" t="s">
        <v>6766</v>
      </c>
    </row>
    <row r="81" spans="1:2">
      <c r="A81" s="4" t="s">
        <v>5150</v>
      </c>
      <c r="B81" t="s">
        <v>6767</v>
      </c>
    </row>
    <row r="82" spans="1:2">
      <c r="A82" s="4" t="s">
        <v>5152</v>
      </c>
      <c r="B82" t="s">
        <v>6768</v>
      </c>
    </row>
    <row r="83" spans="1:2">
      <c r="A83" s="4" t="s">
        <v>2030</v>
      </c>
      <c r="B83" t="s">
        <v>6769</v>
      </c>
    </row>
    <row r="84" spans="1:2">
      <c r="A84" s="4" t="s">
        <v>5159</v>
      </c>
      <c r="B84" t="s">
        <v>6770</v>
      </c>
    </row>
    <row r="85" spans="1:2">
      <c r="A85" s="4" t="s">
        <v>3490</v>
      </c>
      <c r="B85" t="s">
        <v>287</v>
      </c>
    </row>
    <row r="86" spans="1:2">
      <c r="A86" s="4" t="s">
        <v>5165</v>
      </c>
      <c r="B86" t="s">
        <v>6771</v>
      </c>
    </row>
    <row r="87" spans="1:2">
      <c r="A87" s="4" t="s">
        <v>6772</v>
      </c>
      <c r="B87" t="s">
        <v>6773</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C9"/>
  <sheetViews>
    <sheetView zoomScaleNormal="100" workbookViewId="0">
      <selection activeCell="B5" sqref="B5"/>
    </sheetView>
  </sheetViews>
  <sheetFormatPr defaultColWidth="11.5703125" defaultRowHeight="15"/>
  <cols>
    <col min="1" max="1" width="11.7109375" customWidth="1"/>
    <col min="2" max="2" width="72" customWidth="1"/>
    <col min="3" max="3" width="11.7109375" customWidth="1"/>
    <col min="4" max="64" width="9.42578125" customWidth="1"/>
  </cols>
  <sheetData>
    <row r="1" spans="1:3">
      <c r="A1" s="4" t="s">
        <v>6671</v>
      </c>
      <c r="B1" s="4"/>
      <c r="C1" s="4" t="s">
        <v>3478</v>
      </c>
    </row>
    <row r="2" spans="1:3">
      <c r="A2" s="4" t="s">
        <v>6673</v>
      </c>
      <c r="B2" s="4" t="s">
        <v>6774</v>
      </c>
      <c r="C2" s="4" t="s">
        <v>3483</v>
      </c>
    </row>
    <row r="3" spans="1:3">
      <c r="A3" s="4" t="s">
        <v>6675</v>
      </c>
      <c r="B3" s="4" t="s">
        <v>6775</v>
      </c>
      <c r="C3" s="4" t="s">
        <v>3508</v>
      </c>
    </row>
    <row r="4" spans="1:3">
      <c r="A4" s="4" t="s">
        <v>6677</v>
      </c>
      <c r="B4" s="4" t="s">
        <v>6776</v>
      </c>
      <c r="C4" s="4" t="s">
        <v>3511</v>
      </c>
    </row>
    <row r="5" spans="1:3">
      <c r="A5" s="4" t="s">
        <v>6679</v>
      </c>
      <c r="B5" s="4" t="s">
        <v>6777</v>
      </c>
      <c r="C5" s="4" t="s">
        <v>3502</v>
      </c>
    </row>
    <row r="6" spans="1:3">
      <c r="A6" s="4" t="s">
        <v>6681</v>
      </c>
      <c r="B6" t="s">
        <v>6778</v>
      </c>
      <c r="C6" s="4" t="s">
        <v>3493</v>
      </c>
    </row>
    <row r="7" spans="1:3">
      <c r="A7" s="4" t="s">
        <v>6683</v>
      </c>
      <c r="B7" s="4"/>
      <c r="C7" s="4" t="s">
        <v>3551</v>
      </c>
    </row>
    <row r="8" spans="1:3">
      <c r="A8" s="4" t="s">
        <v>6685</v>
      </c>
      <c r="B8" s="4"/>
      <c r="C8" s="4" t="s">
        <v>5068</v>
      </c>
    </row>
    <row r="9" spans="1:3">
      <c r="A9" s="4" t="s">
        <v>6687</v>
      </c>
      <c r="C9" s="4" t="s">
        <v>3487</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47"/>
  <sheetViews>
    <sheetView zoomScaleNormal="100" workbookViewId="0">
      <selection activeCell="A26" sqref="A26"/>
    </sheetView>
  </sheetViews>
  <sheetFormatPr defaultColWidth="11.5703125" defaultRowHeight="15"/>
  <cols>
    <col min="1" max="1" width="41.5703125" customWidth="1"/>
    <col min="2" max="64" width="9.42578125" customWidth="1"/>
  </cols>
  <sheetData>
    <row r="1" spans="1:1">
      <c r="A1" t="s">
        <v>6779</v>
      </c>
    </row>
    <row r="2" spans="1:1">
      <c r="A2" t="s">
        <v>5272</v>
      </c>
    </row>
    <row r="3" spans="1:1">
      <c r="A3" t="s">
        <v>5273</v>
      </c>
    </row>
    <row r="4" spans="1:1">
      <c r="A4" t="s">
        <v>6780</v>
      </c>
    </row>
    <row r="5" spans="1:1">
      <c r="A5" t="s">
        <v>6781</v>
      </c>
    </row>
    <row r="6" spans="1:1">
      <c r="A6" t="s">
        <v>6782</v>
      </c>
    </row>
    <row r="7" spans="1:1">
      <c r="A7" t="s">
        <v>6783</v>
      </c>
    </row>
    <row r="8" spans="1:1">
      <c r="A8" t="s">
        <v>6784</v>
      </c>
    </row>
    <row r="9" spans="1:1">
      <c r="A9" t="s">
        <v>6785</v>
      </c>
    </row>
    <row r="10" spans="1:1">
      <c r="A10" t="s">
        <v>6786</v>
      </c>
    </row>
    <row r="11" spans="1:1">
      <c r="A11" t="s">
        <v>5283</v>
      </c>
    </row>
    <row r="13" spans="1:1">
      <c r="A13" t="s">
        <v>8196</v>
      </c>
    </row>
    <row r="14" spans="1:1">
      <c r="A14" t="s">
        <v>5272</v>
      </c>
    </row>
    <row r="15" spans="1:1">
      <c r="A15" t="s">
        <v>5273</v>
      </c>
    </row>
    <row r="16" spans="1:1">
      <c r="A16" t="s">
        <v>8197</v>
      </c>
    </row>
    <row r="17" spans="1:1">
      <c r="A17" t="s">
        <v>8198</v>
      </c>
    </row>
    <row r="18" spans="1:1">
      <c r="A18" t="s">
        <v>8204</v>
      </c>
    </row>
    <row r="19" spans="1:1">
      <c r="A19" t="s">
        <v>8199</v>
      </c>
    </row>
    <row r="20" spans="1:1">
      <c r="A20" t="s">
        <v>8200</v>
      </c>
    </row>
    <row r="21" spans="1:1">
      <c r="A21" t="s">
        <v>8201</v>
      </c>
    </row>
    <row r="22" spans="1:1">
      <c r="A22" t="s">
        <v>8205</v>
      </c>
    </row>
    <row r="23" spans="1:1">
      <c r="A23" t="s">
        <v>5283</v>
      </c>
    </row>
    <row r="25" spans="1:1">
      <c r="A25" t="s">
        <v>8203</v>
      </c>
    </row>
    <row r="26" spans="1:1">
      <c r="A26" t="s">
        <v>5272</v>
      </c>
    </row>
    <row r="27" spans="1:1">
      <c r="A27" t="s">
        <v>5273</v>
      </c>
    </row>
    <row r="28" spans="1:1">
      <c r="A28" t="s">
        <v>8197</v>
      </c>
    </row>
    <row r="29" spans="1:1">
      <c r="A29" t="s">
        <v>8198</v>
      </c>
    </row>
    <row r="30" spans="1:1">
      <c r="A30" t="s">
        <v>8204</v>
      </c>
    </row>
    <row r="31" spans="1:1">
      <c r="A31" t="s">
        <v>8199</v>
      </c>
    </row>
    <row r="32" spans="1:1">
      <c r="A32" t="s">
        <v>8200</v>
      </c>
    </row>
    <row r="33" spans="1:1">
      <c r="A33" t="s">
        <v>8201</v>
      </c>
    </row>
    <row r="34" spans="1:1">
      <c r="A34" t="s">
        <v>8202</v>
      </c>
    </row>
    <row r="35" spans="1:1">
      <c r="A35" t="s">
        <v>5283</v>
      </c>
    </row>
    <row r="37" spans="1:1">
      <c r="A37" t="s">
        <v>968</v>
      </c>
    </row>
    <row r="38" spans="1:1">
      <c r="A38" t="s">
        <v>5272</v>
      </c>
    </row>
    <row r="39" spans="1:1">
      <c r="A39" t="s">
        <v>5273</v>
      </c>
    </row>
    <row r="40" spans="1:1">
      <c r="A40" t="s">
        <v>8197</v>
      </c>
    </row>
    <row r="41" spans="1:1">
      <c r="A41" t="s">
        <v>8198</v>
      </c>
    </row>
    <row r="42" spans="1:1">
      <c r="A42" t="s">
        <v>8204</v>
      </c>
    </row>
    <row r="43" spans="1:1">
      <c r="A43" t="s">
        <v>8199</v>
      </c>
    </row>
    <row r="44" spans="1:1">
      <c r="A44" t="s">
        <v>8200</v>
      </c>
    </row>
    <row r="45" spans="1:1">
      <c r="A45" t="s">
        <v>8201</v>
      </c>
    </row>
    <row r="46" spans="1:1">
      <c r="A46" t="s">
        <v>8202</v>
      </c>
    </row>
    <row r="47" spans="1:1">
      <c r="A47" t="s">
        <v>5283</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19"/>
  <sheetViews>
    <sheetView zoomScaleNormal="100" workbookViewId="0">
      <selection activeCell="C7" sqref="A7:C7"/>
    </sheetView>
  </sheetViews>
  <sheetFormatPr defaultColWidth="11.5703125" defaultRowHeight="15"/>
  <cols>
    <col min="1" max="1" width="11.7109375" customWidth="1"/>
    <col min="2" max="2" width="52.140625" customWidth="1"/>
    <col min="3" max="6" width="11.7109375" customWidth="1"/>
    <col min="7" max="64" width="9.42578125" customWidth="1"/>
  </cols>
  <sheetData>
    <row r="1" spans="1:6">
      <c r="A1" s="4" t="s">
        <v>6671</v>
      </c>
      <c r="B1" s="4"/>
      <c r="C1" s="4" t="s">
        <v>3478</v>
      </c>
      <c r="D1" s="4" t="s">
        <v>6672</v>
      </c>
      <c r="F1" t="s">
        <v>6787</v>
      </c>
    </row>
    <row r="2" spans="1:6">
      <c r="A2" s="4" t="s">
        <v>6673</v>
      </c>
      <c r="B2" s="4" t="s">
        <v>6788</v>
      </c>
      <c r="C2" s="4" t="s">
        <v>3483</v>
      </c>
      <c r="D2" s="4"/>
    </row>
    <row r="3" spans="1:6">
      <c r="A3" s="4" t="s">
        <v>6675</v>
      </c>
      <c r="B3" s="4"/>
      <c r="C3" s="4" t="s">
        <v>3508</v>
      </c>
      <c r="D3" s="4"/>
    </row>
    <row r="4" spans="1:6">
      <c r="A4" s="4" t="s">
        <v>6677</v>
      </c>
      <c r="B4" s="4" t="s">
        <v>6789</v>
      </c>
      <c r="C4" s="4" t="s">
        <v>3511</v>
      </c>
      <c r="D4" s="4"/>
    </row>
    <row r="5" spans="1:6">
      <c r="A5" s="4" t="s">
        <v>6679</v>
      </c>
      <c r="B5" s="4" t="s">
        <v>6790</v>
      </c>
      <c r="C5" s="4" t="s">
        <v>3502</v>
      </c>
      <c r="D5" s="4"/>
    </row>
    <row r="6" spans="1:6">
      <c r="A6" s="4" t="s">
        <v>6681</v>
      </c>
      <c r="B6" s="4" t="s">
        <v>6791</v>
      </c>
      <c r="C6" s="4" t="s">
        <v>3493</v>
      </c>
      <c r="D6" s="4"/>
    </row>
    <row r="7" spans="1:6">
      <c r="A7" s="4" t="s">
        <v>6683</v>
      </c>
      <c r="B7" s="4" t="s">
        <v>6792</v>
      </c>
      <c r="C7" s="4" t="s">
        <v>3551</v>
      </c>
      <c r="D7" s="4"/>
    </row>
    <row r="8" spans="1:6">
      <c r="A8" s="4" t="s">
        <v>6685</v>
      </c>
      <c r="B8" s="4" t="s">
        <v>6793</v>
      </c>
      <c r="C8" s="4" t="s">
        <v>5068</v>
      </c>
      <c r="D8" s="4"/>
    </row>
    <row r="9" spans="1:6">
      <c r="A9" s="4" t="s">
        <v>6687</v>
      </c>
      <c r="C9" s="4" t="s">
        <v>3487</v>
      </c>
      <c r="D9" s="4"/>
    </row>
    <row r="10" spans="1:6">
      <c r="A10" s="4"/>
      <c r="B10" s="4"/>
      <c r="C10" s="4"/>
      <c r="D10" s="4"/>
    </row>
    <row r="11" spans="1:6">
      <c r="A11" s="4" t="s">
        <v>6671</v>
      </c>
      <c r="B11" s="4"/>
      <c r="C11" s="4" t="s">
        <v>3478</v>
      </c>
      <c r="D11" s="4"/>
    </row>
    <row r="12" spans="1:6">
      <c r="A12" s="4" t="s">
        <v>6673</v>
      </c>
      <c r="B12" s="4" t="s">
        <v>6794</v>
      </c>
      <c r="C12" s="4" t="s">
        <v>3483</v>
      </c>
      <c r="D12" s="4"/>
    </row>
    <row r="13" spans="1:6">
      <c r="A13" s="4" t="s">
        <v>6675</v>
      </c>
      <c r="B13" s="4" t="s">
        <v>6795</v>
      </c>
      <c r="C13" s="4" t="s">
        <v>3508</v>
      </c>
      <c r="D13" s="4"/>
    </row>
    <row r="14" spans="1:6">
      <c r="A14" s="4" t="s">
        <v>6677</v>
      </c>
      <c r="B14" s="4"/>
      <c r="C14" s="4" t="s">
        <v>3511</v>
      </c>
      <c r="D14" s="4"/>
    </row>
    <row r="15" spans="1:6">
      <c r="A15" s="4" t="s">
        <v>6679</v>
      </c>
      <c r="B15" s="4" t="s">
        <v>6796</v>
      </c>
      <c r="C15" s="4" t="s">
        <v>3502</v>
      </c>
      <c r="D15" s="4"/>
    </row>
    <row r="16" spans="1:6">
      <c r="A16" s="4" t="s">
        <v>6681</v>
      </c>
      <c r="C16" s="4" t="s">
        <v>3493</v>
      </c>
      <c r="D16" s="4"/>
    </row>
    <row r="17" spans="1:4">
      <c r="A17" s="4" t="s">
        <v>6683</v>
      </c>
      <c r="B17" s="4"/>
      <c r="C17" s="4" t="s">
        <v>3551</v>
      </c>
      <c r="D17" s="4"/>
    </row>
    <row r="18" spans="1:4">
      <c r="A18" s="4" t="s">
        <v>6685</v>
      </c>
      <c r="B18" s="4"/>
      <c r="C18" s="4" t="s">
        <v>5068</v>
      </c>
      <c r="D18" s="4"/>
    </row>
    <row r="19" spans="1:4">
      <c r="A19" s="4" t="s">
        <v>6687</v>
      </c>
      <c r="C19" s="4" t="s">
        <v>3487</v>
      </c>
      <c r="D19" s="4"/>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E176"/>
  <sheetViews>
    <sheetView zoomScaleNormal="100" workbookViewId="0">
      <selection activeCell="C29" sqref="C29"/>
    </sheetView>
  </sheetViews>
  <sheetFormatPr defaultColWidth="11.5703125" defaultRowHeight="15"/>
  <cols>
    <col min="1" max="1" width="8.28515625" style="4" customWidth="1"/>
    <col min="2" max="2" width="7.140625" style="4" customWidth="1"/>
    <col min="3" max="3" width="55.7109375" style="4" customWidth="1"/>
    <col min="4" max="65" width="9.42578125" customWidth="1"/>
  </cols>
  <sheetData>
    <row r="1" spans="1:5">
      <c r="A1" s="4" t="s">
        <v>3478</v>
      </c>
      <c r="B1" s="4" t="s">
        <v>2906</v>
      </c>
      <c r="C1" s="53" t="s">
        <v>6797</v>
      </c>
      <c r="E1" t="s">
        <v>6798</v>
      </c>
    </row>
    <row r="2" spans="1:5">
      <c r="A2" s="4" t="s">
        <v>3483</v>
      </c>
      <c r="B2" s="4" t="s">
        <v>2906</v>
      </c>
      <c r="C2" s="53" t="s">
        <v>6797</v>
      </c>
    </row>
    <row r="3" spans="1:5">
      <c r="A3" s="4" t="s">
        <v>3508</v>
      </c>
      <c r="B3" s="4" t="s">
        <v>2111</v>
      </c>
      <c r="C3" s="53" t="s">
        <v>6799</v>
      </c>
    </row>
    <row r="4" spans="1:5">
      <c r="A4" s="4" t="s">
        <v>4099</v>
      </c>
      <c r="B4" s="4" t="s">
        <v>2906</v>
      </c>
      <c r="C4" s="53" t="s">
        <v>6797</v>
      </c>
    </row>
    <row r="5" spans="1:5">
      <c r="A5" s="4" t="s">
        <v>3511</v>
      </c>
      <c r="B5" s="4" t="s">
        <v>2114</v>
      </c>
      <c r="C5" s="53" t="s">
        <v>6800</v>
      </c>
    </row>
    <row r="6" spans="1:5">
      <c r="A6" s="4" t="s">
        <v>4102</v>
      </c>
      <c r="B6" s="4" t="s">
        <v>2906</v>
      </c>
      <c r="C6" s="53" t="s">
        <v>6797</v>
      </c>
    </row>
    <row r="7" spans="1:5">
      <c r="A7" s="4" t="s">
        <v>4104</v>
      </c>
      <c r="B7" s="4" t="s">
        <v>6801</v>
      </c>
      <c r="C7" s="53" t="s">
        <v>6802</v>
      </c>
    </row>
    <row r="8" spans="1:5">
      <c r="A8" s="4" t="s">
        <v>3950</v>
      </c>
      <c r="B8" s="4" t="s">
        <v>2099</v>
      </c>
      <c r="C8" s="53" t="s">
        <v>6803</v>
      </c>
    </row>
    <row r="9" spans="1:5">
      <c r="A9" s="4" t="s">
        <v>3502</v>
      </c>
      <c r="B9" s="4" t="s">
        <v>6804</v>
      </c>
      <c r="C9" s="53" t="s">
        <v>6805</v>
      </c>
    </row>
    <row r="10" spans="1:5">
      <c r="A10" s="4" t="s">
        <v>3505</v>
      </c>
      <c r="B10" s="4" t="s">
        <v>6806</v>
      </c>
      <c r="C10" s="53" t="s">
        <v>6807</v>
      </c>
    </row>
    <row r="11" spans="1:5">
      <c r="A11" s="4" t="s">
        <v>1952</v>
      </c>
      <c r="B11" s="4" t="s">
        <v>6808</v>
      </c>
      <c r="C11" s="53" t="s">
        <v>6809</v>
      </c>
    </row>
    <row r="12" spans="1:5">
      <c r="A12" s="4" t="s">
        <v>4110</v>
      </c>
      <c r="B12" s="4" t="s">
        <v>2108</v>
      </c>
      <c r="C12" s="53" t="s">
        <v>6810</v>
      </c>
    </row>
    <row r="13" spans="1:5">
      <c r="A13" s="4" t="s">
        <v>4994</v>
      </c>
      <c r="B13" s="4" t="s">
        <v>6811</v>
      </c>
      <c r="C13" s="53" t="s">
        <v>6812</v>
      </c>
    </row>
    <row r="14" spans="1:5">
      <c r="A14" s="4" t="s">
        <v>4113</v>
      </c>
      <c r="B14" s="4" t="s">
        <v>1408</v>
      </c>
      <c r="C14" s="53" t="s">
        <v>6813</v>
      </c>
    </row>
    <row r="15" spans="1:5">
      <c r="A15" s="4" t="s">
        <v>4997</v>
      </c>
      <c r="B15" s="4" t="s">
        <v>6814</v>
      </c>
      <c r="C15" s="53" t="s">
        <v>6815</v>
      </c>
    </row>
    <row r="16" spans="1:5">
      <c r="A16" s="4" t="s">
        <v>1956</v>
      </c>
      <c r="B16" s="4" t="s">
        <v>6816</v>
      </c>
      <c r="C16" s="53" t="s">
        <v>6817</v>
      </c>
    </row>
    <row r="17" spans="1:3">
      <c r="A17" s="4">
        <v>10</v>
      </c>
      <c r="B17" s="4" t="s">
        <v>6818</v>
      </c>
      <c r="C17" s="53" t="s">
        <v>6819</v>
      </c>
    </row>
    <row r="18" spans="1:3">
      <c r="A18" s="4">
        <v>11</v>
      </c>
      <c r="B18" s="4" t="s">
        <v>1410</v>
      </c>
      <c r="C18" s="53" t="s">
        <v>6820</v>
      </c>
    </row>
    <row r="19" spans="1:3">
      <c r="A19" s="4">
        <v>12</v>
      </c>
      <c r="B19" s="4" t="s">
        <v>6821</v>
      </c>
      <c r="C19" s="53" t="s">
        <v>6822</v>
      </c>
    </row>
    <row r="20" spans="1:3">
      <c r="A20" s="4">
        <v>13</v>
      </c>
      <c r="B20" s="4" t="s">
        <v>6823</v>
      </c>
      <c r="C20" s="53" t="s">
        <v>6824</v>
      </c>
    </row>
    <row r="21" spans="1:3">
      <c r="A21" s="4">
        <v>14</v>
      </c>
      <c r="B21" s="4" t="s">
        <v>6825</v>
      </c>
      <c r="C21" s="53" t="s">
        <v>6826</v>
      </c>
    </row>
    <row r="22" spans="1:3">
      <c r="A22" s="4">
        <v>15</v>
      </c>
      <c r="B22" s="4" t="s">
        <v>6827</v>
      </c>
      <c r="C22" s="53" t="s">
        <v>6828</v>
      </c>
    </row>
    <row r="23" spans="1:3">
      <c r="A23" s="4">
        <v>16</v>
      </c>
      <c r="B23" s="4" t="s">
        <v>6829</v>
      </c>
      <c r="C23" s="53" t="s">
        <v>6830</v>
      </c>
    </row>
    <row r="24" spans="1:3">
      <c r="A24" s="4">
        <v>17</v>
      </c>
      <c r="B24" s="4" t="s">
        <v>6831</v>
      </c>
      <c r="C24" s="53" t="s">
        <v>6832</v>
      </c>
    </row>
    <row r="25" spans="1:3">
      <c r="A25" s="4">
        <v>18</v>
      </c>
      <c r="B25" s="4" t="s">
        <v>6833</v>
      </c>
      <c r="C25" s="53" t="s">
        <v>6834</v>
      </c>
    </row>
    <row r="26" spans="1:3">
      <c r="A26" s="4">
        <v>19</v>
      </c>
      <c r="B26" s="4" t="s">
        <v>6835</v>
      </c>
      <c r="C26" s="53" t="s">
        <v>6836</v>
      </c>
    </row>
    <row r="27" spans="1:3">
      <c r="A27" s="4" t="s">
        <v>5014</v>
      </c>
      <c r="B27" s="4" t="s">
        <v>6837</v>
      </c>
      <c r="C27" s="53" t="s">
        <v>6838</v>
      </c>
    </row>
    <row r="28" spans="1:3">
      <c r="A28" s="4" t="s">
        <v>5015</v>
      </c>
      <c r="B28" s="4" t="s">
        <v>6839</v>
      </c>
      <c r="C28" s="53" t="s">
        <v>6840</v>
      </c>
    </row>
    <row r="29" spans="1:3">
      <c r="A29" s="4" t="s">
        <v>5016</v>
      </c>
      <c r="B29" s="4" t="s">
        <v>6841</v>
      </c>
      <c r="C29" s="53" t="s">
        <v>6842</v>
      </c>
    </row>
    <row r="30" spans="1:3">
      <c r="A30" s="4" t="s">
        <v>5018</v>
      </c>
      <c r="B30" s="4" t="s">
        <v>6843</v>
      </c>
      <c r="C30" s="53" t="s">
        <v>6844</v>
      </c>
    </row>
    <row r="31" spans="1:3">
      <c r="A31" s="4" t="s">
        <v>1966</v>
      </c>
      <c r="B31" s="4" t="s">
        <v>6845</v>
      </c>
      <c r="C31" s="53" t="s">
        <v>6846</v>
      </c>
    </row>
    <row r="32" spans="1:3">
      <c r="A32" s="4" t="s">
        <v>5021</v>
      </c>
      <c r="B32" s="4" t="s">
        <v>6847</v>
      </c>
      <c r="C32" s="53" t="s">
        <v>6848</v>
      </c>
    </row>
    <row r="33" spans="1:3">
      <c r="A33" s="4">
        <v>20</v>
      </c>
      <c r="B33" s="4" t="s">
        <v>2105</v>
      </c>
      <c r="C33" s="53" t="s">
        <v>6849</v>
      </c>
    </row>
    <row r="34" spans="1:3">
      <c r="A34" s="4">
        <v>21</v>
      </c>
      <c r="B34" s="4" t="s">
        <v>6850</v>
      </c>
      <c r="C34" s="53" t="s">
        <v>6851</v>
      </c>
    </row>
    <row r="35" spans="1:3">
      <c r="A35" s="4">
        <v>22</v>
      </c>
      <c r="B35" s="4" t="s">
        <v>1409</v>
      </c>
      <c r="C35" s="53" t="s">
        <v>6852</v>
      </c>
    </row>
    <row r="36" spans="1:3">
      <c r="A36" s="4">
        <v>23</v>
      </c>
      <c r="B36" s="4" t="s">
        <v>6853</v>
      </c>
      <c r="C36" s="53" t="s">
        <v>6854</v>
      </c>
    </row>
    <row r="37" spans="1:3">
      <c r="A37" s="4">
        <v>24</v>
      </c>
      <c r="B37" s="4" t="s">
        <v>2906</v>
      </c>
      <c r="C37" s="53" t="s">
        <v>6797</v>
      </c>
    </row>
    <row r="38" spans="1:3">
      <c r="A38" s="4">
        <v>25</v>
      </c>
      <c r="B38" s="4" t="s">
        <v>2906</v>
      </c>
      <c r="C38" s="53" t="s">
        <v>6797</v>
      </c>
    </row>
    <row r="39" spans="1:3">
      <c r="A39" s="4">
        <v>26</v>
      </c>
      <c r="B39" s="4" t="s">
        <v>6855</v>
      </c>
      <c r="C39" s="53" t="s">
        <v>6856</v>
      </c>
    </row>
    <row r="40" spans="1:3">
      <c r="A40" s="4">
        <v>27</v>
      </c>
      <c r="B40" s="4" t="s">
        <v>6857</v>
      </c>
      <c r="C40" s="53" t="s">
        <v>6858</v>
      </c>
    </row>
    <row r="41" spans="1:3">
      <c r="A41" s="4">
        <v>28</v>
      </c>
      <c r="B41" s="4" t="s">
        <v>6859</v>
      </c>
      <c r="C41" s="53" t="s">
        <v>6860</v>
      </c>
    </row>
    <row r="42" spans="1:3">
      <c r="A42" s="4">
        <v>29</v>
      </c>
      <c r="B42" s="4" t="s">
        <v>6861</v>
      </c>
      <c r="C42" s="53" t="s">
        <v>6862</v>
      </c>
    </row>
    <row r="43" spans="1:3">
      <c r="A43" s="4" t="s">
        <v>5035</v>
      </c>
      <c r="B43" s="4" t="s">
        <v>6863</v>
      </c>
      <c r="C43" s="53" t="s">
        <v>6864</v>
      </c>
    </row>
    <row r="44" spans="1:3">
      <c r="A44" s="4" t="s">
        <v>5037</v>
      </c>
      <c r="B44" s="4" t="s">
        <v>2102</v>
      </c>
      <c r="C44" s="53" t="s">
        <v>6865</v>
      </c>
    </row>
    <row r="45" spans="1:3">
      <c r="A45" s="4" t="s">
        <v>5038</v>
      </c>
      <c r="B45" s="4" t="s">
        <v>6866</v>
      </c>
      <c r="C45" s="53" t="s">
        <v>6867</v>
      </c>
    </row>
    <row r="46" spans="1:3">
      <c r="A46" s="4" t="s">
        <v>1976</v>
      </c>
      <c r="B46" s="4" t="s">
        <v>61</v>
      </c>
      <c r="C46" s="4" t="s">
        <v>6868</v>
      </c>
    </row>
    <row r="47" spans="1:3">
      <c r="A47" s="4" t="s">
        <v>5040</v>
      </c>
      <c r="B47" s="4" t="s">
        <v>6869</v>
      </c>
      <c r="C47" s="4" t="s">
        <v>6870</v>
      </c>
    </row>
    <row r="48" spans="1:3">
      <c r="A48" s="4" t="s">
        <v>5042</v>
      </c>
      <c r="B48" s="4" t="s">
        <v>6871</v>
      </c>
      <c r="C48" s="4" t="s">
        <v>6872</v>
      </c>
    </row>
    <row r="49" spans="1:3">
      <c r="A49" s="4">
        <v>30</v>
      </c>
      <c r="B49" s="4" t="s">
        <v>6873</v>
      </c>
      <c r="C49" s="4" t="s">
        <v>6874</v>
      </c>
    </row>
    <row r="50" spans="1:3">
      <c r="A50" s="4">
        <v>31</v>
      </c>
      <c r="B50" s="4" t="s">
        <v>6875</v>
      </c>
      <c r="C50" s="4" t="s">
        <v>6876</v>
      </c>
    </row>
    <row r="51" spans="1:3">
      <c r="A51" s="4">
        <v>32</v>
      </c>
      <c r="B51" s="4" t="s">
        <v>6877</v>
      </c>
      <c r="C51" s="4" t="s">
        <v>6878</v>
      </c>
    </row>
    <row r="52" spans="1:3">
      <c r="A52" s="4">
        <v>33</v>
      </c>
      <c r="B52" s="4" t="s">
        <v>6879</v>
      </c>
      <c r="C52" s="4" t="s">
        <v>6880</v>
      </c>
    </row>
    <row r="53" spans="1:3">
      <c r="A53" s="4">
        <v>34</v>
      </c>
      <c r="B53" s="4" t="s">
        <v>2906</v>
      </c>
      <c r="C53" s="53" t="s">
        <v>6797</v>
      </c>
    </row>
    <row r="54" spans="1:3">
      <c r="A54" s="4">
        <v>35</v>
      </c>
      <c r="B54" s="4" t="s">
        <v>2906</v>
      </c>
      <c r="C54" s="53" t="s">
        <v>6797</v>
      </c>
    </row>
    <row r="55" spans="1:3">
      <c r="A55" s="4">
        <v>36</v>
      </c>
      <c r="B55" s="4" t="s">
        <v>6881</v>
      </c>
      <c r="C55" s="4" t="s">
        <v>6882</v>
      </c>
    </row>
    <row r="56" spans="1:3">
      <c r="A56" s="4">
        <v>37</v>
      </c>
      <c r="B56" s="4" t="s">
        <v>6883</v>
      </c>
      <c r="C56" s="4" t="s">
        <v>6884</v>
      </c>
    </row>
    <row r="57" spans="1:3">
      <c r="A57" s="4">
        <v>38</v>
      </c>
      <c r="B57" t="s">
        <v>2906</v>
      </c>
      <c r="C57" s="53" t="s">
        <v>6797</v>
      </c>
    </row>
    <row r="58" spans="1:3">
      <c r="A58" s="4">
        <v>39</v>
      </c>
      <c r="B58" s="4" t="s">
        <v>2906</v>
      </c>
      <c r="C58" s="53" t="s">
        <v>6797</v>
      </c>
    </row>
    <row r="59" spans="1:3">
      <c r="A59" s="4" t="s">
        <v>5059</v>
      </c>
      <c r="B59" s="4" t="s">
        <v>2906</v>
      </c>
      <c r="C59" s="53" t="s">
        <v>6797</v>
      </c>
    </row>
    <row r="60" spans="1:3">
      <c r="A60" s="4" t="s">
        <v>5061</v>
      </c>
      <c r="B60" s="4" t="s">
        <v>2906</v>
      </c>
      <c r="C60" s="53" t="s">
        <v>6797</v>
      </c>
    </row>
    <row r="61" spans="1:3">
      <c r="A61" s="4" t="s">
        <v>1986</v>
      </c>
      <c r="B61" s="4" t="s">
        <v>2906</v>
      </c>
      <c r="C61" s="53" t="s">
        <v>6797</v>
      </c>
    </row>
    <row r="62" spans="1:3">
      <c r="A62" s="4" t="s">
        <v>5064</v>
      </c>
      <c r="B62" s="4" t="s">
        <v>6885</v>
      </c>
      <c r="C62" s="53" t="s">
        <v>6886</v>
      </c>
    </row>
    <row r="63" spans="1:3">
      <c r="A63" s="4" t="s">
        <v>5066</v>
      </c>
      <c r="B63" s="4" t="s">
        <v>6887</v>
      </c>
      <c r="C63" s="53" t="s">
        <v>6888</v>
      </c>
    </row>
    <row r="64" spans="1:3">
      <c r="A64" s="4" t="s">
        <v>5067</v>
      </c>
      <c r="B64" s="4" t="s">
        <v>6889</v>
      </c>
      <c r="C64" s="53" t="s">
        <v>6890</v>
      </c>
    </row>
    <row r="65" spans="1:3">
      <c r="A65" s="4">
        <v>40</v>
      </c>
      <c r="B65" s="4" t="s">
        <v>2906</v>
      </c>
      <c r="C65" s="53" t="s">
        <v>6797</v>
      </c>
    </row>
    <row r="66" spans="1:3">
      <c r="A66" s="4">
        <v>41</v>
      </c>
      <c r="B66" s="4" t="s">
        <v>2906</v>
      </c>
      <c r="C66" s="53" t="s">
        <v>6797</v>
      </c>
    </row>
    <row r="67" spans="1:3">
      <c r="A67" s="4">
        <v>42</v>
      </c>
      <c r="B67" s="4" t="s">
        <v>2906</v>
      </c>
      <c r="C67" s="53" t="s">
        <v>6797</v>
      </c>
    </row>
    <row r="68" spans="1:3">
      <c r="A68" s="4">
        <v>43</v>
      </c>
      <c r="B68" s="4" t="s">
        <v>2906</v>
      </c>
      <c r="C68" s="53" t="s">
        <v>6797</v>
      </c>
    </row>
    <row r="69" spans="1:3">
      <c r="A69" s="4">
        <v>44</v>
      </c>
      <c r="B69" s="4" t="s">
        <v>2906</v>
      </c>
      <c r="C69" s="53" t="s">
        <v>6797</v>
      </c>
    </row>
    <row r="70" spans="1:3">
      <c r="A70" s="4">
        <v>45</v>
      </c>
      <c r="B70" s="4" t="s">
        <v>2906</v>
      </c>
      <c r="C70" s="53" t="s">
        <v>6797</v>
      </c>
    </row>
    <row r="71" spans="1:3">
      <c r="A71" s="4">
        <v>46</v>
      </c>
      <c r="B71" s="4" t="s">
        <v>2906</v>
      </c>
      <c r="C71" s="53" t="s">
        <v>6797</v>
      </c>
    </row>
    <row r="72" spans="1:3">
      <c r="A72" s="4">
        <v>47</v>
      </c>
      <c r="B72" s="4" t="s">
        <v>2906</v>
      </c>
      <c r="C72" s="53" t="s">
        <v>6797</v>
      </c>
    </row>
    <row r="73" spans="1:3">
      <c r="A73" s="4">
        <v>48</v>
      </c>
      <c r="B73" s="4" t="s">
        <v>2906</v>
      </c>
      <c r="C73" s="53" t="s">
        <v>6797</v>
      </c>
    </row>
    <row r="74" spans="1:3">
      <c r="A74" s="4">
        <v>49</v>
      </c>
      <c r="B74" s="4" t="s">
        <v>2906</v>
      </c>
      <c r="C74" s="53" t="s">
        <v>6797</v>
      </c>
    </row>
    <row r="75" spans="1:3">
      <c r="A75" s="4" t="s">
        <v>1993</v>
      </c>
      <c r="B75" s="4" t="s">
        <v>2906</v>
      </c>
      <c r="C75" s="53" t="s">
        <v>6797</v>
      </c>
    </row>
    <row r="76" spans="1:3">
      <c r="A76" s="4" t="s">
        <v>1997</v>
      </c>
      <c r="B76" s="4" t="s">
        <v>2906</v>
      </c>
      <c r="C76" s="53" t="s">
        <v>6797</v>
      </c>
    </row>
    <row r="77" spans="1:3">
      <c r="A77" s="4" t="s">
        <v>2001</v>
      </c>
      <c r="B77" s="4" t="s">
        <v>2906</v>
      </c>
      <c r="C77" s="53" t="s">
        <v>6797</v>
      </c>
    </row>
    <row r="78" spans="1:3">
      <c r="A78" s="4" t="s">
        <v>2005</v>
      </c>
      <c r="B78" s="4" t="s">
        <v>124</v>
      </c>
      <c r="C78" s="53" t="s">
        <v>6891</v>
      </c>
    </row>
    <row r="79" spans="1:3">
      <c r="A79" s="4" t="s">
        <v>2009</v>
      </c>
      <c r="C79" s="4" t="s">
        <v>6892</v>
      </c>
    </row>
    <row r="80" spans="1:3">
      <c r="A80" s="4" t="s">
        <v>2013</v>
      </c>
      <c r="C80" s="4" t="s">
        <v>6892</v>
      </c>
    </row>
    <row r="81" spans="1:3">
      <c r="A81" s="4">
        <v>50</v>
      </c>
      <c r="C81" s="4" t="s">
        <v>6892</v>
      </c>
    </row>
    <row r="82" spans="1:3">
      <c r="A82" s="4">
        <v>51</v>
      </c>
      <c r="C82" s="4" t="s">
        <v>6893</v>
      </c>
    </row>
    <row r="83" spans="1:3">
      <c r="A83" s="4">
        <v>52</v>
      </c>
      <c r="C83" s="4" t="s">
        <v>6893</v>
      </c>
    </row>
    <row r="84" spans="1:3">
      <c r="A84" s="4">
        <v>53</v>
      </c>
      <c r="C84" s="4" t="s">
        <v>6893</v>
      </c>
    </row>
    <row r="85" spans="1:3">
      <c r="A85" s="4">
        <v>54</v>
      </c>
      <c r="C85" s="4" t="s">
        <v>6893</v>
      </c>
    </row>
    <row r="86" spans="1:3">
      <c r="A86" s="4">
        <v>55</v>
      </c>
      <c r="C86" s="4" t="s">
        <v>6893</v>
      </c>
    </row>
    <row r="87" spans="1:3">
      <c r="A87" s="4">
        <v>56</v>
      </c>
      <c r="C87" s="4" t="s">
        <v>6893</v>
      </c>
    </row>
    <row r="88" spans="1:3">
      <c r="A88" s="4">
        <v>57</v>
      </c>
      <c r="C88" s="4" t="s">
        <v>6893</v>
      </c>
    </row>
    <row r="89" spans="1:3">
      <c r="A89" s="4">
        <v>58</v>
      </c>
      <c r="C89" s="4" t="s">
        <v>6893</v>
      </c>
    </row>
    <row r="90" spans="1:3">
      <c r="A90" s="4">
        <v>59</v>
      </c>
      <c r="C90" s="4" t="s">
        <v>6893</v>
      </c>
    </row>
    <row r="91" spans="1:3">
      <c r="A91" s="4" t="s">
        <v>5102</v>
      </c>
      <c r="C91" s="4" t="s">
        <v>6893</v>
      </c>
    </row>
    <row r="92" spans="1:3">
      <c r="A92" s="4" t="s">
        <v>5104</v>
      </c>
      <c r="C92" s="4" t="s">
        <v>6893</v>
      </c>
    </row>
    <row r="93" spans="1:3">
      <c r="A93" s="4" t="s">
        <v>5106</v>
      </c>
      <c r="C93" s="4" t="s">
        <v>6893</v>
      </c>
    </row>
    <row r="94" spans="1:3">
      <c r="A94" s="4" t="s">
        <v>5108</v>
      </c>
      <c r="C94" s="4" t="s">
        <v>6892</v>
      </c>
    </row>
    <row r="95" spans="1:3">
      <c r="A95" s="4" t="s">
        <v>5109</v>
      </c>
      <c r="C95" s="4" t="s">
        <v>6893</v>
      </c>
    </row>
    <row r="96" spans="1:3">
      <c r="A96" s="4" t="s">
        <v>266</v>
      </c>
      <c r="C96" s="4" t="s">
        <v>6893</v>
      </c>
    </row>
    <row r="97" spans="1:3">
      <c r="A97" s="4">
        <v>60</v>
      </c>
      <c r="C97" s="4" t="s">
        <v>6892</v>
      </c>
    </row>
    <row r="98" spans="1:3">
      <c r="A98" s="4">
        <v>61</v>
      </c>
      <c r="C98" s="4" t="s">
        <v>6893</v>
      </c>
    </row>
    <row r="99" spans="1:3">
      <c r="A99" s="4">
        <v>62</v>
      </c>
      <c r="C99" s="4" t="s">
        <v>6893</v>
      </c>
    </row>
    <row r="100" spans="1:3">
      <c r="A100" s="4">
        <v>63</v>
      </c>
      <c r="C100" s="4" t="s">
        <v>6893</v>
      </c>
    </row>
    <row r="101" spans="1:3">
      <c r="A101" s="4">
        <v>64</v>
      </c>
      <c r="C101" s="4" t="s">
        <v>6893</v>
      </c>
    </row>
    <row r="102" spans="1:3">
      <c r="A102" s="4">
        <v>65</v>
      </c>
      <c r="C102" s="4" t="s">
        <v>6893</v>
      </c>
    </row>
    <row r="103" spans="1:3">
      <c r="A103" s="4">
        <v>66</v>
      </c>
      <c r="C103" s="4" t="s">
        <v>6893</v>
      </c>
    </row>
    <row r="104" spans="1:3">
      <c r="A104" s="4">
        <v>67</v>
      </c>
      <c r="C104" s="4" t="s">
        <v>6893</v>
      </c>
    </row>
    <row r="105" spans="1:3">
      <c r="A105" s="4">
        <v>68</v>
      </c>
      <c r="C105" s="4" t="s">
        <v>6894</v>
      </c>
    </row>
    <row r="106" spans="1:3">
      <c r="A106" s="4">
        <v>69</v>
      </c>
      <c r="C106" s="4" t="s">
        <v>6892</v>
      </c>
    </row>
    <row r="107" spans="1:3">
      <c r="A107" s="4" t="s">
        <v>5128</v>
      </c>
      <c r="C107" s="4" t="s">
        <v>6892</v>
      </c>
    </row>
    <row r="108" spans="1:3">
      <c r="A108" s="4" t="s">
        <v>5129</v>
      </c>
      <c r="C108" s="4" t="s">
        <v>6892</v>
      </c>
    </row>
    <row r="109" spans="1:3">
      <c r="A109" s="4" t="s">
        <v>2020</v>
      </c>
      <c r="C109" s="4" t="s">
        <v>6892</v>
      </c>
    </row>
    <row r="110" spans="1:3">
      <c r="A110" s="4" t="s">
        <v>5131</v>
      </c>
      <c r="C110" s="4" t="s">
        <v>6892</v>
      </c>
    </row>
    <row r="111" spans="1:3">
      <c r="A111" s="4" t="s">
        <v>5133</v>
      </c>
      <c r="C111" s="4" t="s">
        <v>6894</v>
      </c>
    </row>
    <row r="112" spans="1:3">
      <c r="A112" s="4" t="s">
        <v>5135</v>
      </c>
      <c r="C112" s="4" t="s">
        <v>6892</v>
      </c>
    </row>
    <row r="113" spans="1:3">
      <c r="A113" s="4">
        <v>70</v>
      </c>
      <c r="C113" s="4" t="s">
        <v>6895</v>
      </c>
    </row>
    <row r="114" spans="1:3">
      <c r="A114" s="4">
        <v>71</v>
      </c>
      <c r="C114" s="4" t="s">
        <v>6896</v>
      </c>
    </row>
    <row r="115" spans="1:3">
      <c r="A115" s="4">
        <v>72</v>
      </c>
      <c r="C115" s="4" t="s">
        <v>6892</v>
      </c>
    </row>
    <row r="116" spans="1:3">
      <c r="A116" s="4">
        <v>73</v>
      </c>
      <c r="C116" s="4" t="s">
        <v>6892</v>
      </c>
    </row>
    <row r="117" spans="1:3">
      <c r="A117" s="4">
        <v>74</v>
      </c>
      <c r="C117" s="4" t="s">
        <v>6897</v>
      </c>
    </row>
    <row r="118" spans="1:3">
      <c r="A118" s="4">
        <v>75</v>
      </c>
      <c r="C118" s="4" t="s">
        <v>6892</v>
      </c>
    </row>
    <row r="119" spans="1:3">
      <c r="A119" s="4">
        <v>76</v>
      </c>
      <c r="C119" s="4" t="s">
        <v>6892</v>
      </c>
    </row>
    <row r="120" spans="1:3">
      <c r="A120" s="4">
        <v>77</v>
      </c>
      <c r="C120" s="4" t="s">
        <v>6892</v>
      </c>
    </row>
    <row r="121" spans="1:3">
      <c r="A121" s="4">
        <v>78</v>
      </c>
      <c r="C121" s="4" t="s">
        <v>6892</v>
      </c>
    </row>
    <row r="122" spans="1:3">
      <c r="A122" s="4">
        <v>79</v>
      </c>
      <c r="C122" s="4" t="s">
        <v>6892</v>
      </c>
    </row>
    <row r="123" spans="1:3">
      <c r="A123" s="4" t="s">
        <v>5152</v>
      </c>
      <c r="C123" s="4" t="s">
        <v>6898</v>
      </c>
    </row>
    <row r="124" spans="1:3">
      <c r="A124" s="4" t="s">
        <v>2030</v>
      </c>
      <c r="C124" s="4" t="s">
        <v>6893</v>
      </c>
    </row>
    <row r="125" spans="1:3">
      <c r="A125" s="4" t="s">
        <v>5154</v>
      </c>
      <c r="C125" s="4" t="s">
        <v>6893</v>
      </c>
    </row>
    <row r="126" spans="1:3">
      <c r="A126" s="4" t="s">
        <v>5155</v>
      </c>
      <c r="C126" s="4" t="s">
        <v>6893</v>
      </c>
    </row>
    <row r="127" spans="1:3">
      <c r="A127" s="4" t="s">
        <v>5157</v>
      </c>
      <c r="C127" s="4" t="s">
        <v>6893</v>
      </c>
    </row>
    <row r="128" spans="1:3">
      <c r="A128" s="4" t="s">
        <v>5159</v>
      </c>
      <c r="C128" s="4" t="s">
        <v>6893</v>
      </c>
    </row>
    <row r="129" spans="1:3">
      <c r="A129" s="4">
        <v>80</v>
      </c>
      <c r="C129" s="4" t="s">
        <v>6892</v>
      </c>
    </row>
    <row r="130" spans="1:3">
      <c r="A130" s="4">
        <v>81</v>
      </c>
      <c r="C130" s="4" t="s">
        <v>6893</v>
      </c>
    </row>
    <row r="131" spans="1:3">
      <c r="A131" s="4">
        <v>82</v>
      </c>
      <c r="C131" s="4" t="s">
        <v>6893</v>
      </c>
    </row>
    <row r="132" spans="1:3">
      <c r="A132" s="4">
        <v>83</v>
      </c>
      <c r="C132" s="4" t="s">
        <v>6893</v>
      </c>
    </row>
    <row r="133" spans="1:3">
      <c r="A133" s="4">
        <v>84</v>
      </c>
      <c r="C133" s="4" t="s">
        <v>6893</v>
      </c>
    </row>
    <row r="134" spans="1:3">
      <c r="A134" s="4">
        <v>85</v>
      </c>
      <c r="C134" s="4" t="s">
        <v>6893</v>
      </c>
    </row>
    <row r="135" spans="1:3">
      <c r="A135" s="4">
        <v>86</v>
      </c>
      <c r="C135" s="4" t="s">
        <v>6893</v>
      </c>
    </row>
    <row r="136" spans="1:3">
      <c r="A136" s="4">
        <v>87</v>
      </c>
      <c r="C136" s="4" t="s">
        <v>6893</v>
      </c>
    </row>
    <row r="137" spans="1:3">
      <c r="A137" s="4">
        <v>88</v>
      </c>
      <c r="C137" s="4" t="s">
        <v>6893</v>
      </c>
    </row>
    <row r="138" spans="1:3">
      <c r="A138" s="4">
        <v>89</v>
      </c>
      <c r="C138" s="4" t="s">
        <v>6893</v>
      </c>
    </row>
    <row r="139" spans="1:3">
      <c r="A139" s="4" t="s">
        <v>6899</v>
      </c>
      <c r="C139" s="4" t="s">
        <v>6893</v>
      </c>
    </row>
    <row r="140" spans="1:3">
      <c r="A140" s="4" t="s">
        <v>6900</v>
      </c>
      <c r="C140" s="4" t="s">
        <v>6893</v>
      </c>
    </row>
    <row r="141" spans="1:3">
      <c r="A141" s="4" t="s">
        <v>6901</v>
      </c>
      <c r="C141" s="4" t="s">
        <v>6893</v>
      </c>
    </row>
    <row r="142" spans="1:3">
      <c r="A142" s="4" t="s">
        <v>6902</v>
      </c>
      <c r="C142" s="4" t="s">
        <v>6893</v>
      </c>
    </row>
    <row r="143" spans="1:3">
      <c r="A143" s="4" t="s">
        <v>6903</v>
      </c>
      <c r="C143" s="4" t="s">
        <v>6892</v>
      </c>
    </row>
    <row r="144" spans="1:3">
      <c r="A144" s="4" t="s">
        <v>6904</v>
      </c>
      <c r="C144" s="4" t="s">
        <v>6905</v>
      </c>
    </row>
    <row r="145" spans="1:3">
      <c r="A145" s="4">
        <v>90</v>
      </c>
      <c r="C145" s="4" t="s">
        <v>6906</v>
      </c>
    </row>
    <row r="146" spans="1:3">
      <c r="A146" s="4">
        <v>91</v>
      </c>
      <c r="C146" s="4" t="s">
        <v>6893</v>
      </c>
    </row>
    <row r="147" spans="1:3">
      <c r="A147" s="4">
        <v>92</v>
      </c>
      <c r="C147" s="4" t="s">
        <v>6893</v>
      </c>
    </row>
    <row r="148" spans="1:3">
      <c r="A148" s="4">
        <v>93</v>
      </c>
      <c r="C148" s="4" t="s">
        <v>6893</v>
      </c>
    </row>
    <row r="149" spans="1:3">
      <c r="A149" s="4">
        <v>94</v>
      </c>
      <c r="C149" s="4" t="s">
        <v>6893</v>
      </c>
    </row>
    <row r="150" spans="1:3">
      <c r="A150" s="4">
        <v>95</v>
      </c>
      <c r="C150" s="4" t="s">
        <v>6893</v>
      </c>
    </row>
    <row r="151" spans="1:3">
      <c r="A151" s="4">
        <v>96</v>
      </c>
      <c r="C151" s="4" t="s">
        <v>6893</v>
      </c>
    </row>
    <row r="152" spans="1:3">
      <c r="A152" s="4">
        <v>97</v>
      </c>
      <c r="C152" s="4" t="s">
        <v>6893</v>
      </c>
    </row>
    <row r="153" spans="1:3">
      <c r="A153" s="4">
        <v>98</v>
      </c>
      <c r="C153" s="4" t="s">
        <v>6893</v>
      </c>
    </row>
    <row r="154" spans="1:3">
      <c r="A154" s="4">
        <v>99</v>
      </c>
      <c r="C154" s="4" t="s">
        <v>6893</v>
      </c>
    </row>
    <row r="155" spans="1:3">
      <c r="A155" s="4" t="s">
        <v>6907</v>
      </c>
      <c r="C155" s="4" t="s">
        <v>6893</v>
      </c>
    </row>
    <row r="156" spans="1:3">
      <c r="A156" s="4" t="s">
        <v>6908</v>
      </c>
      <c r="C156" s="4" t="s">
        <v>6893</v>
      </c>
    </row>
    <row r="157" spans="1:3">
      <c r="A157" s="4" t="s">
        <v>6909</v>
      </c>
      <c r="C157" s="4" t="s">
        <v>6893</v>
      </c>
    </row>
    <row r="158" spans="1:3">
      <c r="A158" s="4" t="s">
        <v>6910</v>
      </c>
      <c r="C158" s="4" t="s">
        <v>6893</v>
      </c>
    </row>
    <row r="159" spans="1:3">
      <c r="A159" s="4" t="s">
        <v>6911</v>
      </c>
      <c r="C159" s="4" t="s">
        <v>6893</v>
      </c>
    </row>
    <row r="160" spans="1:3">
      <c r="A160" s="4" t="s">
        <v>6912</v>
      </c>
      <c r="C160" s="4" t="s">
        <v>6893</v>
      </c>
    </row>
    <row r="161" spans="1:3">
      <c r="A161" s="4" t="s">
        <v>6913</v>
      </c>
      <c r="C161" s="4" t="s">
        <v>6905</v>
      </c>
    </row>
    <row r="162" spans="1:3">
      <c r="A162" s="4" t="s">
        <v>6914</v>
      </c>
      <c r="C162" s="4" t="s">
        <v>6905</v>
      </c>
    </row>
    <row r="163" spans="1:3">
      <c r="A163" s="4" t="s">
        <v>6915</v>
      </c>
      <c r="C163" s="4" t="s">
        <v>6905</v>
      </c>
    </row>
    <row r="164" spans="1:3">
      <c r="A164" s="4" t="s">
        <v>6916</v>
      </c>
      <c r="C164" s="4" t="s">
        <v>6905</v>
      </c>
    </row>
    <row r="165" spans="1:3">
      <c r="A165" s="4" t="s">
        <v>6917</v>
      </c>
      <c r="C165" s="4" t="s">
        <v>6905</v>
      </c>
    </row>
    <row r="166" spans="1:3">
      <c r="A166" s="4" t="s">
        <v>6918</v>
      </c>
      <c r="C166" s="4" t="s">
        <v>6905</v>
      </c>
    </row>
    <row r="167" spans="1:3">
      <c r="A167" s="4" t="s">
        <v>6919</v>
      </c>
      <c r="C167" s="4" t="s">
        <v>6905</v>
      </c>
    </row>
    <row r="168" spans="1:3">
      <c r="A168" s="4" t="s">
        <v>6920</v>
      </c>
      <c r="C168" s="4" t="s">
        <v>6921</v>
      </c>
    </row>
    <row r="169" spans="1:3">
      <c r="A169" s="4" t="s">
        <v>6922</v>
      </c>
      <c r="C169" s="4" t="s">
        <v>6905</v>
      </c>
    </row>
    <row r="170" spans="1:3">
      <c r="A170" s="4" t="s">
        <v>6923</v>
      </c>
      <c r="C170" s="4" t="s">
        <v>6905</v>
      </c>
    </row>
    <row r="171" spans="1:3">
      <c r="A171" s="4" t="s">
        <v>6924</v>
      </c>
      <c r="C171" s="4" t="s">
        <v>6893</v>
      </c>
    </row>
    <row r="172" spans="1:3">
      <c r="A172" s="4" t="s">
        <v>6925</v>
      </c>
      <c r="C172" s="4" t="s">
        <v>6893</v>
      </c>
    </row>
    <row r="173" spans="1:3">
      <c r="A173" s="4" t="s">
        <v>6926</v>
      </c>
      <c r="C173" s="4" t="s">
        <v>6893</v>
      </c>
    </row>
    <row r="174" spans="1:3">
      <c r="A174" s="4" t="s">
        <v>6927</v>
      </c>
      <c r="C174" s="4" t="s">
        <v>6893</v>
      </c>
    </row>
    <row r="175" spans="1:3">
      <c r="A175" s="4" t="s">
        <v>6928</v>
      </c>
      <c r="C175" s="4" t="s">
        <v>6893</v>
      </c>
    </row>
    <row r="176" spans="1:3">
      <c r="A176" s="4" t="s">
        <v>6929</v>
      </c>
      <c r="C176" s="4" t="s">
        <v>6893</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D160"/>
  <sheetViews>
    <sheetView zoomScaleNormal="100" workbookViewId="0">
      <selection activeCell="F1" sqref="F1"/>
    </sheetView>
  </sheetViews>
  <sheetFormatPr defaultColWidth="11.5703125" defaultRowHeight="15"/>
  <cols>
    <col min="1" max="1" width="11.7109375" style="4" customWidth="1"/>
    <col min="2" max="2" width="51.7109375" customWidth="1"/>
    <col min="3" max="3" width="28.7109375" style="4" customWidth="1"/>
    <col min="4" max="4" width="9.42578125" style="4" customWidth="1"/>
    <col min="5" max="64" width="9.42578125" customWidth="1"/>
  </cols>
  <sheetData>
    <row r="1" spans="1:4">
      <c r="A1" s="4" t="s">
        <v>3478</v>
      </c>
      <c r="B1" s="81" t="s">
        <v>6930</v>
      </c>
      <c r="C1" s="4" t="s">
        <v>6931</v>
      </c>
      <c r="D1" s="4" t="s">
        <v>124</v>
      </c>
    </row>
    <row r="2" spans="1:4">
      <c r="A2" s="4" t="s">
        <v>3483</v>
      </c>
      <c r="B2" s="81" t="s">
        <v>6932</v>
      </c>
      <c r="C2" s="4" t="s">
        <v>6931</v>
      </c>
      <c r="D2" s="4" t="s">
        <v>2111</v>
      </c>
    </row>
    <row r="3" spans="1:4">
      <c r="A3" s="4" t="s">
        <v>3508</v>
      </c>
      <c r="B3" s="81" t="s">
        <v>6933</v>
      </c>
      <c r="C3" s="4" t="s">
        <v>6931</v>
      </c>
      <c r="D3" s="4" t="s">
        <v>2114</v>
      </c>
    </row>
    <row r="4" spans="1:4">
      <c r="A4" s="4" t="s">
        <v>4099</v>
      </c>
      <c r="B4" s="81" t="s">
        <v>6934</v>
      </c>
      <c r="C4" s="4" t="s">
        <v>6931</v>
      </c>
      <c r="D4" s="4" t="s">
        <v>6801</v>
      </c>
    </row>
    <row r="5" spans="1:4">
      <c r="A5" s="4" t="s">
        <v>3511</v>
      </c>
      <c r="B5" s="81" t="s">
        <v>6935</v>
      </c>
      <c r="C5" s="4" t="s">
        <v>6931</v>
      </c>
      <c r="D5" s="4" t="s">
        <v>2099</v>
      </c>
    </row>
    <row r="6" spans="1:4">
      <c r="A6" s="4" t="s">
        <v>4102</v>
      </c>
      <c r="B6" s="81" t="s">
        <v>6936</v>
      </c>
      <c r="C6" s="4" t="s">
        <v>6931</v>
      </c>
      <c r="D6" s="4" t="s">
        <v>6804</v>
      </c>
    </row>
    <row r="7" spans="1:4">
      <c r="A7" s="4" t="s">
        <v>4104</v>
      </c>
      <c r="B7" s="81" t="s">
        <v>6937</v>
      </c>
      <c r="C7" s="4" t="s">
        <v>6931</v>
      </c>
      <c r="D7" s="4" t="s">
        <v>6806</v>
      </c>
    </row>
    <row r="8" spans="1:4">
      <c r="A8" s="4" t="s">
        <v>3950</v>
      </c>
      <c r="B8" s="81" t="s">
        <v>6938</v>
      </c>
      <c r="C8" s="4" t="s">
        <v>6931</v>
      </c>
      <c r="D8" s="4" t="s">
        <v>6808</v>
      </c>
    </row>
    <row r="9" spans="1:4">
      <c r="A9" s="4" t="s">
        <v>3502</v>
      </c>
      <c r="B9" s="81" t="s">
        <v>6939</v>
      </c>
      <c r="C9" s="4" t="s">
        <v>6931</v>
      </c>
      <c r="D9" s="4" t="s">
        <v>2108</v>
      </c>
    </row>
    <row r="10" spans="1:4">
      <c r="A10" s="4" t="s">
        <v>3505</v>
      </c>
      <c r="B10" s="81" t="s">
        <v>6940</v>
      </c>
    </row>
    <row r="11" spans="1:4">
      <c r="A11" s="4" t="s">
        <v>1952</v>
      </c>
      <c r="B11" s="81" t="s">
        <v>6941</v>
      </c>
      <c r="C11" s="4" t="s">
        <v>6931</v>
      </c>
      <c r="D11" s="4" t="s">
        <v>1408</v>
      </c>
    </row>
    <row r="12" spans="1:4">
      <c r="A12" s="4" t="s">
        <v>4110</v>
      </c>
      <c r="B12" s="81" t="s">
        <v>6942</v>
      </c>
      <c r="C12" s="4" t="s">
        <v>6931</v>
      </c>
      <c r="D12" s="4" t="s">
        <v>6814</v>
      </c>
    </row>
    <row r="13" spans="1:4">
      <c r="A13" s="4" t="s">
        <v>4994</v>
      </c>
      <c r="B13" s="81" t="s">
        <v>6943</v>
      </c>
      <c r="C13" s="4" t="s">
        <v>6931</v>
      </c>
      <c r="D13" s="4" t="s">
        <v>6816</v>
      </c>
    </row>
    <row r="14" spans="1:4">
      <c r="A14" s="4" t="s">
        <v>4113</v>
      </c>
      <c r="B14" s="81" t="s">
        <v>6944</v>
      </c>
      <c r="C14" s="4" t="s">
        <v>6931</v>
      </c>
      <c r="D14" s="4" t="s">
        <v>6863</v>
      </c>
    </row>
    <row r="15" spans="1:4">
      <c r="A15" s="4" t="s">
        <v>4997</v>
      </c>
      <c r="B15" s="81" t="s">
        <v>6945</v>
      </c>
    </row>
    <row r="16" spans="1:4">
      <c r="A16" s="4" t="s">
        <v>1956</v>
      </c>
      <c r="B16" s="81" t="s">
        <v>6946</v>
      </c>
    </row>
    <row r="17" spans="1:4">
      <c r="A17" s="4" t="s">
        <v>3493</v>
      </c>
      <c r="B17" s="81" t="s">
        <v>6947</v>
      </c>
    </row>
    <row r="18" spans="1:4">
      <c r="A18" s="4" t="s">
        <v>5001</v>
      </c>
      <c r="B18" s="81" t="s">
        <v>6948</v>
      </c>
      <c r="C18" s="4" t="s">
        <v>6931</v>
      </c>
      <c r="D18" s="4" t="s">
        <v>2102</v>
      </c>
    </row>
    <row r="19" spans="1:4">
      <c r="A19" s="4" t="s">
        <v>3953</v>
      </c>
      <c r="B19" s="81" t="s">
        <v>6949</v>
      </c>
    </row>
    <row r="20" spans="1:4">
      <c r="A20" s="4" t="s">
        <v>5004</v>
      </c>
      <c r="B20" s="81" t="s">
        <v>6950</v>
      </c>
    </row>
    <row r="21" spans="1:4">
      <c r="A21" s="4" t="s">
        <v>5006</v>
      </c>
      <c r="B21" s="81" t="s">
        <v>6951</v>
      </c>
    </row>
    <row r="22" spans="1:4">
      <c r="A22" s="4" t="s">
        <v>5008</v>
      </c>
      <c r="B22" s="81" t="s">
        <v>6952</v>
      </c>
    </row>
    <row r="23" spans="1:4">
      <c r="A23" s="4" t="s">
        <v>5010</v>
      </c>
      <c r="B23" s="81" t="s">
        <v>6953</v>
      </c>
    </row>
    <row r="24" spans="1:4">
      <c r="A24" s="4" t="s">
        <v>5011</v>
      </c>
      <c r="B24" s="81" t="s">
        <v>6954</v>
      </c>
    </row>
    <row r="25" spans="1:4">
      <c r="A25" s="4" t="s">
        <v>5012</v>
      </c>
      <c r="B25" s="81" t="s">
        <v>6955</v>
      </c>
    </row>
    <row r="26" spans="1:4">
      <c r="A26" s="4" t="s">
        <v>5013</v>
      </c>
      <c r="B26" s="53" t="s">
        <v>6956</v>
      </c>
    </row>
    <row r="27" spans="1:4">
      <c r="A27" s="4" t="s">
        <v>5014</v>
      </c>
      <c r="B27" s="53" t="s">
        <v>6957</v>
      </c>
    </row>
    <row r="28" spans="1:4">
      <c r="A28" s="4" t="s">
        <v>5015</v>
      </c>
      <c r="B28" s="53" t="s">
        <v>6958</v>
      </c>
    </row>
    <row r="29" spans="1:4">
      <c r="A29" s="4" t="s">
        <v>5016</v>
      </c>
      <c r="B29" s="53" t="s">
        <v>6959</v>
      </c>
    </row>
    <row r="30" spans="1:4">
      <c r="A30" s="4" t="s">
        <v>5018</v>
      </c>
      <c r="B30" s="53" t="s">
        <v>6960</v>
      </c>
    </row>
    <row r="31" spans="1:4">
      <c r="A31" s="4" t="s">
        <v>1966</v>
      </c>
      <c r="B31" s="81" t="s">
        <v>6961</v>
      </c>
    </row>
    <row r="32" spans="1:4">
      <c r="A32" s="4" t="s">
        <v>5021</v>
      </c>
      <c r="B32" s="81" t="s">
        <v>6962</v>
      </c>
    </row>
    <row r="33" spans="1:2">
      <c r="A33" s="4" t="s">
        <v>3551</v>
      </c>
      <c r="B33" s="81" t="s">
        <v>6963</v>
      </c>
    </row>
    <row r="34" spans="1:2">
      <c r="A34" s="4" t="s">
        <v>3496</v>
      </c>
      <c r="B34" s="81" t="s">
        <v>6964</v>
      </c>
    </row>
    <row r="35" spans="1:2">
      <c r="A35" s="4" t="s">
        <v>5023</v>
      </c>
      <c r="B35" s="81" t="s">
        <v>6965</v>
      </c>
    </row>
    <row r="36" spans="1:2">
      <c r="A36" s="4" t="s">
        <v>5024</v>
      </c>
      <c r="B36" s="81" t="s">
        <v>6966</v>
      </c>
    </row>
    <row r="37" spans="1:2">
      <c r="A37" s="4" t="s">
        <v>5025</v>
      </c>
      <c r="B37" s="81" t="s">
        <v>6967</v>
      </c>
    </row>
    <row r="38" spans="1:2">
      <c r="A38" s="4" t="s">
        <v>5026</v>
      </c>
      <c r="B38" s="81" t="s">
        <v>6968</v>
      </c>
    </row>
    <row r="39" spans="1:2">
      <c r="A39" s="4" t="s">
        <v>5027</v>
      </c>
      <c r="B39" s="81" t="s">
        <v>6969</v>
      </c>
    </row>
    <row r="40" spans="1:2">
      <c r="A40" s="4" t="s">
        <v>5029</v>
      </c>
      <c r="B40" s="81" t="s">
        <v>6970</v>
      </c>
    </row>
    <row r="41" spans="1:2">
      <c r="A41" s="4" t="s">
        <v>5031</v>
      </c>
      <c r="B41" s="81" t="s">
        <v>6971</v>
      </c>
    </row>
    <row r="42" spans="1:2">
      <c r="A42" s="4" t="s">
        <v>5033</v>
      </c>
      <c r="B42" s="81" t="s">
        <v>6972</v>
      </c>
    </row>
    <row r="43" spans="1:2">
      <c r="A43" s="4" t="s">
        <v>5035</v>
      </c>
      <c r="B43" s="81" t="s">
        <v>6973</v>
      </c>
    </row>
    <row r="44" spans="1:2">
      <c r="A44" s="4" t="s">
        <v>5037</v>
      </c>
      <c r="B44" t="s">
        <v>6974</v>
      </c>
    </row>
    <row r="45" spans="1:2">
      <c r="A45" s="4" t="s">
        <v>5038</v>
      </c>
      <c r="B45" t="s">
        <v>6975</v>
      </c>
    </row>
    <row r="46" spans="1:2">
      <c r="A46" s="4" t="s">
        <v>1976</v>
      </c>
      <c r="B46" t="s">
        <v>6976</v>
      </c>
    </row>
    <row r="47" spans="1:2">
      <c r="A47" s="4" t="s">
        <v>5040</v>
      </c>
      <c r="B47" t="s">
        <v>6977</v>
      </c>
    </row>
    <row r="48" spans="1:2">
      <c r="A48" s="4" t="s">
        <v>5042</v>
      </c>
      <c r="B48" t="s">
        <v>6978</v>
      </c>
    </row>
    <row r="49" spans="1:2">
      <c r="A49" s="4" t="s">
        <v>3553</v>
      </c>
      <c r="B49" t="s">
        <v>6979</v>
      </c>
    </row>
    <row r="50" spans="1:2">
      <c r="A50" s="4" t="s">
        <v>3499</v>
      </c>
      <c r="B50" t="s">
        <v>6980</v>
      </c>
    </row>
    <row r="51" spans="1:2">
      <c r="A51" s="4" t="s">
        <v>3404</v>
      </c>
      <c r="B51" t="s">
        <v>6981</v>
      </c>
    </row>
    <row r="52" spans="1:2">
      <c r="A52" s="4" t="s">
        <v>5047</v>
      </c>
      <c r="B52" t="s">
        <v>6982</v>
      </c>
    </row>
    <row r="53" spans="1:2">
      <c r="A53" s="4" t="s">
        <v>5049</v>
      </c>
      <c r="B53" s="81" t="s">
        <v>6983</v>
      </c>
    </row>
    <row r="54" spans="1:2">
      <c r="A54" s="4" t="s">
        <v>5051</v>
      </c>
      <c r="B54" s="81" t="s">
        <v>6984</v>
      </c>
    </row>
    <row r="55" spans="1:2">
      <c r="A55" s="4" t="s">
        <v>5052</v>
      </c>
      <c r="B55" s="81" t="s">
        <v>6985</v>
      </c>
    </row>
    <row r="56" spans="1:2">
      <c r="A56" s="4" t="s">
        <v>5053</v>
      </c>
      <c r="B56" s="81" t="s">
        <v>6986</v>
      </c>
    </row>
    <row r="57" spans="1:2">
      <c r="A57" s="4" t="s">
        <v>5055</v>
      </c>
      <c r="B57" s="81" t="s">
        <v>6987</v>
      </c>
    </row>
    <row r="58" spans="1:2">
      <c r="A58" s="4" t="s">
        <v>5057</v>
      </c>
      <c r="B58" s="81" t="s">
        <v>6988</v>
      </c>
    </row>
    <row r="59" spans="1:2">
      <c r="A59" s="4" t="s">
        <v>5059</v>
      </c>
      <c r="B59" s="81" t="s">
        <v>6989</v>
      </c>
    </row>
    <row r="60" spans="1:2">
      <c r="A60" s="4" t="s">
        <v>5061</v>
      </c>
      <c r="B60" s="81" t="s">
        <v>6990</v>
      </c>
    </row>
    <row r="61" spans="1:2">
      <c r="A61" s="4" t="s">
        <v>1986</v>
      </c>
      <c r="B61" s="81" t="s">
        <v>6991</v>
      </c>
    </row>
    <row r="62" spans="1:2">
      <c r="A62" s="4" t="s">
        <v>5064</v>
      </c>
      <c r="B62" s="81" t="s">
        <v>6992</v>
      </c>
    </row>
    <row r="63" spans="1:2">
      <c r="A63" s="4" t="s">
        <v>5066</v>
      </c>
      <c r="B63" s="81" t="s">
        <v>6993</v>
      </c>
    </row>
    <row r="64" spans="1:2">
      <c r="A64" s="4" t="s">
        <v>5067</v>
      </c>
      <c r="B64" s="81" t="s">
        <v>6994</v>
      </c>
    </row>
    <row r="65" spans="1:2">
      <c r="A65" s="4" t="s">
        <v>5068</v>
      </c>
      <c r="B65" s="81" t="s">
        <v>6995</v>
      </c>
    </row>
    <row r="66" spans="1:2">
      <c r="A66" s="4" t="s">
        <v>3515</v>
      </c>
      <c r="B66" s="81" t="s">
        <v>6996</v>
      </c>
    </row>
    <row r="67" spans="1:2">
      <c r="A67" s="4" t="s">
        <v>5070</v>
      </c>
      <c r="B67" s="81" t="s">
        <v>6997</v>
      </c>
    </row>
    <row r="68" spans="1:2">
      <c r="A68" s="4" t="s">
        <v>5072</v>
      </c>
      <c r="B68" s="81" t="s">
        <v>6998</v>
      </c>
    </row>
    <row r="69" spans="1:2">
      <c r="A69" s="4" t="s">
        <v>5073</v>
      </c>
      <c r="B69" s="81" t="s">
        <v>6999</v>
      </c>
    </row>
    <row r="70" spans="1:2">
      <c r="A70" s="4" t="s">
        <v>5075</v>
      </c>
      <c r="B70" s="81" t="s">
        <v>7000</v>
      </c>
    </row>
    <row r="71" spans="1:2">
      <c r="A71" s="4" t="s">
        <v>5077</v>
      </c>
      <c r="B71" s="81" t="s">
        <v>7001</v>
      </c>
    </row>
    <row r="72" spans="1:2">
      <c r="A72" s="4" t="s">
        <v>5079</v>
      </c>
      <c r="B72" s="81" t="s">
        <v>7002</v>
      </c>
    </row>
    <row r="73" spans="1:2">
      <c r="A73" s="4" t="s">
        <v>5081</v>
      </c>
      <c r="B73" s="81" t="s">
        <v>7003</v>
      </c>
    </row>
    <row r="74" spans="1:2">
      <c r="A74" s="4" t="s">
        <v>5082</v>
      </c>
      <c r="B74" s="81" t="s">
        <v>7004</v>
      </c>
    </row>
    <row r="75" spans="1:2">
      <c r="A75" s="4" t="s">
        <v>1993</v>
      </c>
      <c r="B75" s="81" t="s">
        <v>7005</v>
      </c>
    </row>
    <row r="76" spans="1:2">
      <c r="A76" s="4" t="s">
        <v>1997</v>
      </c>
      <c r="B76" t="s">
        <v>7006</v>
      </c>
    </row>
    <row r="77" spans="1:2">
      <c r="A77" s="4" t="s">
        <v>2001</v>
      </c>
    </row>
    <row r="78" spans="1:2">
      <c r="A78" s="4" t="s">
        <v>2005</v>
      </c>
      <c r="B78" t="s">
        <v>7007</v>
      </c>
    </row>
    <row r="79" spans="1:2">
      <c r="A79" s="4" t="s">
        <v>2009</v>
      </c>
    </row>
    <row r="80" spans="1:2">
      <c r="A80" s="4" t="s">
        <v>2013</v>
      </c>
      <c r="B80" t="s">
        <v>7008</v>
      </c>
    </row>
    <row r="81" spans="1:2">
      <c r="A81" s="4" t="s">
        <v>3518</v>
      </c>
      <c r="B81" t="s">
        <v>7009</v>
      </c>
    </row>
    <row r="82" spans="1:2">
      <c r="A82" s="4" t="s">
        <v>3521</v>
      </c>
      <c r="B82" t="s">
        <v>7010</v>
      </c>
    </row>
    <row r="83" spans="1:2">
      <c r="A83" s="4" t="s">
        <v>5089</v>
      </c>
      <c r="B83" t="s">
        <v>7011</v>
      </c>
    </row>
    <row r="84" spans="1:2">
      <c r="A84" s="4" t="s">
        <v>5091</v>
      </c>
      <c r="B84" t="s">
        <v>7012</v>
      </c>
    </row>
    <row r="85" spans="1:2">
      <c r="A85" s="4" t="s">
        <v>5092</v>
      </c>
      <c r="B85" t="s">
        <v>7013</v>
      </c>
    </row>
    <row r="86" spans="1:2">
      <c r="A86" s="4" t="s">
        <v>5093</v>
      </c>
      <c r="B86" t="s">
        <v>7014</v>
      </c>
    </row>
    <row r="87" spans="1:2">
      <c r="A87" s="4" t="s">
        <v>5094</v>
      </c>
      <c r="B87" t="s">
        <v>7015</v>
      </c>
    </row>
    <row r="88" spans="1:2">
      <c r="A88" s="4" t="s">
        <v>5096</v>
      </c>
      <c r="B88" t="s">
        <v>7016</v>
      </c>
    </row>
    <row r="89" spans="1:2">
      <c r="A89" s="4" t="s">
        <v>5098</v>
      </c>
      <c r="B89" t="s">
        <v>7017</v>
      </c>
    </row>
    <row r="90" spans="1:2">
      <c r="A90" s="4" t="s">
        <v>5100</v>
      </c>
      <c r="B90" t="s">
        <v>7018</v>
      </c>
    </row>
    <row r="91" spans="1:2">
      <c r="A91" s="4" t="s">
        <v>5102</v>
      </c>
      <c r="B91" t="s">
        <v>7019</v>
      </c>
    </row>
    <row r="92" spans="1:2">
      <c r="A92" s="4" t="s">
        <v>5104</v>
      </c>
      <c r="B92" t="s">
        <v>7020</v>
      </c>
    </row>
    <row r="93" spans="1:2">
      <c r="A93" s="4" t="s">
        <v>5106</v>
      </c>
      <c r="B93" t="s">
        <v>7021</v>
      </c>
    </row>
    <row r="94" spans="1:2">
      <c r="A94" s="4" t="s">
        <v>5108</v>
      </c>
      <c r="B94" t="s">
        <v>7022</v>
      </c>
    </row>
    <row r="95" spans="1:2">
      <c r="A95" s="4" t="s">
        <v>5109</v>
      </c>
      <c r="B95" t="s">
        <v>7023</v>
      </c>
    </row>
    <row r="96" spans="1:2">
      <c r="A96" s="4" t="s">
        <v>266</v>
      </c>
    </row>
    <row r="97" spans="1:3">
      <c r="A97" s="4" t="s">
        <v>5111</v>
      </c>
    </row>
    <row r="98" spans="1:3">
      <c r="A98" s="4" t="s">
        <v>5113</v>
      </c>
    </row>
    <row r="99" spans="1:3">
      <c r="A99" s="4" t="s">
        <v>5115</v>
      </c>
    </row>
    <row r="100" spans="1:3">
      <c r="A100" s="4" t="s">
        <v>5117</v>
      </c>
      <c r="B100" t="s">
        <v>7024</v>
      </c>
    </row>
    <row r="101" spans="1:3">
      <c r="A101" s="4" t="s">
        <v>5119</v>
      </c>
    </row>
    <row r="102" spans="1:3">
      <c r="A102" s="4" t="s">
        <v>5121</v>
      </c>
    </row>
    <row r="103" spans="1:3">
      <c r="A103" s="4" t="s">
        <v>5123</v>
      </c>
      <c r="B103" t="s">
        <v>7025</v>
      </c>
    </row>
    <row r="104" spans="1:3">
      <c r="A104" s="4" t="s">
        <v>5125</v>
      </c>
    </row>
    <row r="105" spans="1:3">
      <c r="A105" s="4" t="s">
        <v>5126</v>
      </c>
    </row>
    <row r="106" spans="1:3">
      <c r="A106" s="4" t="s">
        <v>5127</v>
      </c>
      <c r="B106" t="s">
        <v>7026</v>
      </c>
      <c r="C106" s="4" t="s">
        <v>7027</v>
      </c>
    </row>
    <row r="107" spans="1:3">
      <c r="A107" s="4" t="s">
        <v>5128</v>
      </c>
      <c r="B107" t="s">
        <v>7028</v>
      </c>
    </row>
    <row r="108" spans="1:3">
      <c r="A108" s="4" t="s">
        <v>5129</v>
      </c>
    </row>
    <row r="109" spans="1:3">
      <c r="A109" s="4" t="s">
        <v>2020</v>
      </c>
    </row>
    <row r="110" spans="1:3">
      <c r="A110" s="4" t="s">
        <v>5131</v>
      </c>
    </row>
    <row r="111" spans="1:3">
      <c r="A111" s="4" t="s">
        <v>5133</v>
      </c>
    </row>
    <row r="112" spans="1:3">
      <c r="A112" s="4" t="s">
        <v>5135</v>
      </c>
    </row>
    <row r="113" spans="1:2">
      <c r="A113" s="4" t="s">
        <v>5137</v>
      </c>
    </row>
    <row r="114" spans="1:2">
      <c r="A114" s="4" t="s">
        <v>5139</v>
      </c>
    </row>
    <row r="115" spans="1:2">
      <c r="A115" s="4" t="s">
        <v>5140</v>
      </c>
    </row>
    <row r="116" spans="1:2">
      <c r="A116" s="4" t="s">
        <v>5141</v>
      </c>
      <c r="B116" t="s">
        <v>7029</v>
      </c>
    </row>
    <row r="117" spans="1:2">
      <c r="A117" s="4" t="s">
        <v>5142</v>
      </c>
    </row>
    <row r="118" spans="1:2">
      <c r="A118" s="4" t="s">
        <v>5143</v>
      </c>
    </row>
    <row r="119" spans="1:2">
      <c r="A119" s="4" t="s">
        <v>5144</v>
      </c>
    </row>
    <row r="120" spans="1:2">
      <c r="A120" s="4" t="s">
        <v>5146</v>
      </c>
    </row>
    <row r="121" spans="1:2">
      <c r="A121" s="4" t="s">
        <v>5148</v>
      </c>
      <c r="B121" t="s">
        <v>7030</v>
      </c>
    </row>
    <row r="122" spans="1:2">
      <c r="A122" s="4" t="s">
        <v>5150</v>
      </c>
      <c r="B122" t="s">
        <v>7030</v>
      </c>
    </row>
    <row r="123" spans="1:2">
      <c r="A123" s="4" t="s">
        <v>5152</v>
      </c>
      <c r="B123" t="s">
        <v>7031</v>
      </c>
    </row>
    <row r="129" spans="1:3">
      <c r="A129" s="4" t="s">
        <v>3487</v>
      </c>
      <c r="B129" t="s">
        <v>7032</v>
      </c>
    </row>
    <row r="130" spans="1:3">
      <c r="A130" s="4" t="s">
        <v>3490</v>
      </c>
      <c r="B130" t="s">
        <v>7032</v>
      </c>
      <c r="C130" s="4" t="s">
        <v>7033</v>
      </c>
    </row>
    <row r="132" spans="1:3">
      <c r="A132" s="4" t="s">
        <v>5165</v>
      </c>
      <c r="B132" t="s">
        <v>7034</v>
      </c>
    </row>
    <row r="133" spans="1:3">
      <c r="A133" s="4" t="s">
        <v>6772</v>
      </c>
    </row>
    <row r="140" spans="1:3">
      <c r="A140" s="4" t="s">
        <v>7035</v>
      </c>
      <c r="B140" t="s">
        <v>7036</v>
      </c>
    </row>
    <row r="142" spans="1:3">
      <c r="A142" s="4" t="s">
        <v>7037</v>
      </c>
      <c r="B142" t="s">
        <v>7038</v>
      </c>
    </row>
    <row r="143" spans="1:3">
      <c r="A143" s="4" t="s">
        <v>7039</v>
      </c>
      <c r="B143" t="s">
        <v>7040</v>
      </c>
    </row>
    <row r="144" spans="1:3">
      <c r="A144" s="4" t="s">
        <v>7041</v>
      </c>
      <c r="B144" t="s">
        <v>7042</v>
      </c>
    </row>
    <row r="145" spans="1:2">
      <c r="A145" s="4" t="s">
        <v>7043</v>
      </c>
      <c r="B145" t="s">
        <v>7044</v>
      </c>
    </row>
    <row r="146" spans="1:2">
      <c r="A146" s="4" t="s">
        <v>7045</v>
      </c>
      <c r="B146" t="s">
        <v>7046</v>
      </c>
    </row>
    <row r="147" spans="1:2">
      <c r="A147" s="4" t="s">
        <v>7047</v>
      </c>
      <c r="B147" t="s">
        <v>7048</v>
      </c>
    </row>
    <row r="148" spans="1:2">
      <c r="A148" s="4" t="s">
        <v>7049</v>
      </c>
      <c r="B148" t="s">
        <v>7050</v>
      </c>
    </row>
    <row r="149" spans="1:2">
      <c r="A149" s="4" t="s">
        <v>1826</v>
      </c>
      <c r="B149" t="s">
        <v>7051</v>
      </c>
    </row>
    <row r="150" spans="1:2">
      <c r="A150" s="4" t="s">
        <v>7052</v>
      </c>
      <c r="B150" t="s">
        <v>7053</v>
      </c>
    </row>
    <row r="151" spans="1:2">
      <c r="A151" s="4" t="s">
        <v>7054</v>
      </c>
      <c r="B151" t="s">
        <v>7055</v>
      </c>
    </row>
    <row r="152" spans="1:2">
      <c r="A152" s="4" t="s">
        <v>7056</v>
      </c>
    </row>
    <row r="153" spans="1:2">
      <c r="A153" s="4" t="s">
        <v>1827</v>
      </c>
    </row>
    <row r="158" spans="1:2">
      <c r="A158" s="4" t="s">
        <v>7057</v>
      </c>
      <c r="B158" t="s">
        <v>7058</v>
      </c>
    </row>
    <row r="160" spans="1:2">
      <c r="A160" s="4" t="s">
        <v>7059</v>
      </c>
      <c r="B160" t="s">
        <v>7060</v>
      </c>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AMJ120"/>
  <sheetViews>
    <sheetView topLeftCell="AQ1" zoomScaleNormal="100" workbookViewId="0">
      <selection activeCell="AV28" sqref="AV28"/>
    </sheetView>
  </sheetViews>
  <sheetFormatPr defaultColWidth="11.5703125" defaultRowHeight="15"/>
  <cols>
    <col min="1" max="1" width="5.28515625" style="4" customWidth="1"/>
    <col min="2" max="2" width="18" style="4" customWidth="1"/>
    <col min="3" max="3" width="5.28515625" style="4" customWidth="1"/>
    <col min="4" max="4" width="30.28515625" style="4" customWidth="1"/>
    <col min="5" max="5" width="5.28515625" style="59" customWidth="1"/>
    <col min="6" max="6" width="30.7109375" style="59" customWidth="1"/>
    <col min="7" max="7" width="9.42578125" style="84" customWidth="1"/>
    <col min="8" max="8" width="24.7109375" style="84" customWidth="1"/>
    <col min="9" max="9" width="10.28515625" style="66" customWidth="1"/>
    <col min="10" max="10" width="30.85546875" style="66" customWidth="1"/>
    <col min="11" max="11" width="9.42578125" style="85" customWidth="1"/>
    <col min="12" max="12" width="19.140625" style="85" customWidth="1"/>
    <col min="13" max="13" width="7" style="84" customWidth="1"/>
    <col min="14" max="14" width="26.140625" style="84" customWidth="1"/>
    <col min="15" max="15" width="8.42578125" style="53" customWidth="1"/>
    <col min="16" max="16" width="20.140625" style="53" customWidth="1"/>
    <col min="17" max="18" width="11.7109375" style="4" customWidth="1"/>
    <col min="19" max="19" width="15.5703125" style="4" customWidth="1"/>
    <col min="20" max="23" width="11.7109375" style="4" customWidth="1"/>
    <col min="24" max="24" width="45.5703125" style="4" customWidth="1"/>
    <col min="25" max="30" width="11.7109375" style="4" customWidth="1"/>
    <col min="31" max="31" width="18.140625" style="4" customWidth="1"/>
    <col min="32" max="42" width="11.7109375" style="4" customWidth="1"/>
    <col min="43" max="43" width="15.28515625" style="4" customWidth="1"/>
    <col min="44" max="44" width="11.7109375" style="4" customWidth="1"/>
    <col min="45" max="45" width="49.7109375" style="4" customWidth="1"/>
    <col min="46" max="46" width="7.5703125" style="4" customWidth="1"/>
    <col min="47" max="47" width="49.7109375" style="4" customWidth="1"/>
    <col min="48" max="48" width="36.140625" style="4" customWidth="1"/>
    <col min="49" max="52" width="11.7109375" style="4" customWidth="1"/>
    <col min="53" max="53" width="28.140625" style="4" customWidth="1"/>
    <col min="54" max="54" width="45.42578125" style="4" customWidth="1"/>
    <col min="55" max="57" width="11.7109375" style="4" customWidth="1"/>
    <col min="58" max="58" width="79.42578125" style="4" customWidth="1"/>
    <col min="59" max="59" width="12.5703125" style="4" customWidth="1"/>
    <col min="60" max="1024" width="11.7109375" style="4" customWidth="1"/>
  </cols>
  <sheetData>
    <row r="1" spans="1:67" ht="26.25">
      <c r="A1" s="4" t="s">
        <v>7061</v>
      </c>
      <c r="C1" s="4" t="s">
        <v>7062</v>
      </c>
      <c r="E1" s="59" t="s">
        <v>7063</v>
      </c>
      <c r="G1" s="84" t="s">
        <v>7064</v>
      </c>
      <c r="I1" s="66" t="s">
        <v>7065</v>
      </c>
      <c r="K1" s="85" t="s">
        <v>7066</v>
      </c>
      <c r="M1" s="84" t="s">
        <v>7067</v>
      </c>
      <c r="O1" s="53" t="s">
        <v>7068</v>
      </c>
      <c r="R1" s="4" t="s">
        <v>7069</v>
      </c>
      <c r="S1" s="4" t="s">
        <v>7070</v>
      </c>
      <c r="T1" s="4" t="s">
        <v>7071</v>
      </c>
      <c r="U1" s="4" t="s">
        <v>7072</v>
      </c>
      <c r="V1" s="4" t="s">
        <v>7073</v>
      </c>
      <c r="W1" s="4" t="s">
        <v>7074</v>
      </c>
      <c r="X1" s="4" t="s">
        <v>7075</v>
      </c>
      <c r="Y1" s="4" t="s">
        <v>7076</v>
      </c>
      <c r="Z1" s="4" t="s">
        <v>3478</v>
      </c>
      <c r="AA1" s="4" t="s">
        <v>7077</v>
      </c>
      <c r="AF1" s="4" t="s">
        <v>7078</v>
      </c>
      <c r="AQ1" s="4" t="s">
        <v>7079</v>
      </c>
      <c r="AR1" s="86" t="s">
        <v>3614</v>
      </c>
      <c r="AS1" s="86" t="s">
        <v>7080</v>
      </c>
      <c r="AT1" s="86" t="s">
        <v>3478</v>
      </c>
      <c r="AU1" s="86" t="s">
        <v>7081</v>
      </c>
      <c r="BA1" s="19" t="s">
        <v>7082</v>
      </c>
    </row>
    <row r="2" spans="1:67">
      <c r="A2" s="4" t="s">
        <v>3478</v>
      </c>
      <c r="C2" s="4" t="s">
        <v>3478</v>
      </c>
      <c r="E2" s="59" t="s">
        <v>3478</v>
      </c>
      <c r="F2" s="59" t="s">
        <v>7083</v>
      </c>
      <c r="I2" s="66" t="s">
        <v>3478</v>
      </c>
      <c r="J2" s="66" t="s">
        <v>7084</v>
      </c>
      <c r="K2" s="85" t="s">
        <v>3478</v>
      </c>
      <c r="L2" s="85" t="s">
        <v>7085</v>
      </c>
      <c r="M2" s="84" t="s">
        <v>3478</v>
      </c>
      <c r="N2" s="51" t="s">
        <v>7086</v>
      </c>
      <c r="O2" s="53" t="s">
        <v>3478</v>
      </c>
      <c r="P2" s="53" t="s">
        <v>7087</v>
      </c>
      <c r="R2" s="4" t="s">
        <v>7088</v>
      </c>
      <c r="S2" s="4" t="s">
        <v>7070</v>
      </c>
      <c r="T2" s="4" t="s">
        <v>7071</v>
      </c>
      <c r="U2" s="4" t="s">
        <v>7072</v>
      </c>
      <c r="V2" s="4" t="s">
        <v>7073</v>
      </c>
      <c r="W2" s="4" t="s">
        <v>7074</v>
      </c>
      <c r="X2" s="4" t="s">
        <v>7075</v>
      </c>
      <c r="Y2" s="4" t="s">
        <v>7076</v>
      </c>
      <c r="Z2" s="4" t="s">
        <v>3478</v>
      </c>
      <c r="AF2" s="4" t="s">
        <v>7089</v>
      </c>
      <c r="AR2" s="86" t="s">
        <v>7090</v>
      </c>
      <c r="AS2" s="86" t="s">
        <v>7091</v>
      </c>
      <c r="AT2" s="86" t="s">
        <v>3493</v>
      </c>
      <c r="AU2" s="86" t="s">
        <v>7092</v>
      </c>
      <c r="BA2" s="73"/>
      <c r="BB2" s="73"/>
    </row>
    <row r="3" spans="1:67">
      <c r="A3" s="4">
        <v>10</v>
      </c>
      <c r="C3" s="4" t="s">
        <v>3483</v>
      </c>
      <c r="D3" s="4" t="s">
        <v>7093</v>
      </c>
      <c r="E3" s="59" t="s">
        <v>3493</v>
      </c>
      <c r="F3" s="59" t="s">
        <v>7094</v>
      </c>
      <c r="I3" s="66" t="s">
        <v>3493</v>
      </c>
      <c r="J3" s="66" t="s">
        <v>7095</v>
      </c>
      <c r="K3" s="85" t="s">
        <v>3483</v>
      </c>
      <c r="L3" s="85" t="s">
        <v>7096</v>
      </c>
      <c r="M3" s="84" t="s">
        <v>3493</v>
      </c>
      <c r="N3" s="51" t="s">
        <v>7097</v>
      </c>
      <c r="O3" s="53" t="s">
        <v>3483</v>
      </c>
      <c r="P3" s="53" t="s">
        <v>7098</v>
      </c>
      <c r="R3" s="4" t="s">
        <v>7099</v>
      </c>
      <c r="S3" s="4" t="s">
        <v>7100</v>
      </c>
      <c r="T3" s="4" t="s">
        <v>7101</v>
      </c>
      <c r="U3" s="4" t="s">
        <v>7072</v>
      </c>
      <c r="V3" s="4" t="s">
        <v>7073</v>
      </c>
      <c r="W3" s="4" t="s">
        <v>7074</v>
      </c>
      <c r="X3" s="4" t="s">
        <v>7102</v>
      </c>
      <c r="Y3" s="4" t="s">
        <v>7103</v>
      </c>
      <c r="Z3" s="4" t="s">
        <v>3483</v>
      </c>
      <c r="AF3" s="4" t="s">
        <v>7104</v>
      </c>
      <c r="AR3" s="86" t="s">
        <v>7105</v>
      </c>
      <c r="AS3" s="86" t="s">
        <v>7106</v>
      </c>
      <c r="AT3" s="86" t="s">
        <v>3551</v>
      </c>
      <c r="AU3" s="86" t="s">
        <v>7107</v>
      </c>
      <c r="BA3" s="73"/>
      <c r="BB3" s="19" t="s">
        <v>7108</v>
      </c>
    </row>
    <row r="4" spans="1:67">
      <c r="A4" s="4" t="s">
        <v>3551</v>
      </c>
      <c r="C4" s="4" t="s">
        <v>3508</v>
      </c>
      <c r="D4" s="4" t="s">
        <v>7109</v>
      </c>
      <c r="E4" s="59" t="s">
        <v>3551</v>
      </c>
      <c r="F4" s="59" t="s">
        <v>7110</v>
      </c>
      <c r="I4" s="66" t="s">
        <v>3551</v>
      </c>
      <c r="J4" s="66" t="s">
        <v>3507</v>
      </c>
      <c r="K4" s="85" t="s">
        <v>3508</v>
      </c>
      <c r="L4" s="85" t="s">
        <v>7111</v>
      </c>
      <c r="M4" s="84" t="s">
        <v>3551</v>
      </c>
      <c r="N4" s="51" t="s">
        <v>7112</v>
      </c>
      <c r="O4" s="53" t="s">
        <v>3508</v>
      </c>
      <c r="P4" s="53" t="s">
        <v>7113</v>
      </c>
      <c r="R4" s="4" t="s">
        <v>7114</v>
      </c>
      <c r="S4" s="4" t="s">
        <v>7115</v>
      </c>
      <c r="T4" s="4" t="s">
        <v>7101</v>
      </c>
      <c r="U4" s="4" t="s">
        <v>7072</v>
      </c>
      <c r="V4" s="4" t="s">
        <v>7073</v>
      </c>
      <c r="W4" s="4" t="s">
        <v>7074</v>
      </c>
      <c r="X4" s="4" t="s">
        <v>7116</v>
      </c>
      <c r="Y4" s="4" t="s">
        <v>7117</v>
      </c>
      <c r="Z4" s="4" t="s">
        <v>4113</v>
      </c>
      <c r="AF4" s="4" t="s">
        <v>7118</v>
      </c>
      <c r="AR4" s="86" t="s">
        <v>7119</v>
      </c>
      <c r="AS4" s="86" t="s">
        <v>7120</v>
      </c>
      <c r="AT4" s="86" t="s">
        <v>3553</v>
      </c>
      <c r="AU4" s="86" t="s">
        <v>7121</v>
      </c>
      <c r="BA4" s="73"/>
      <c r="BB4" s="73"/>
    </row>
    <row r="5" spans="1:67">
      <c r="A5" s="4" t="s">
        <v>3553</v>
      </c>
      <c r="C5" s="4" t="s">
        <v>4099</v>
      </c>
      <c r="E5" s="59" t="s">
        <v>3553</v>
      </c>
      <c r="F5" s="59" t="s">
        <v>7122</v>
      </c>
      <c r="I5" s="66" t="s">
        <v>3553</v>
      </c>
      <c r="J5" s="66" t="s">
        <v>7123</v>
      </c>
      <c r="K5" s="85" t="s">
        <v>4099</v>
      </c>
      <c r="L5" s="85" t="s">
        <v>7124</v>
      </c>
      <c r="M5" s="84" t="s">
        <v>3553</v>
      </c>
      <c r="N5" s="51" t="s">
        <v>7125</v>
      </c>
      <c r="O5" s="53" t="s">
        <v>4099</v>
      </c>
      <c r="P5" s="53" t="s">
        <v>7126</v>
      </c>
      <c r="R5" s="4" t="s">
        <v>7127</v>
      </c>
      <c r="S5" s="4" t="s">
        <v>7128</v>
      </c>
      <c r="T5" s="4" t="s">
        <v>7071</v>
      </c>
      <c r="U5" s="4" t="s">
        <v>7072</v>
      </c>
      <c r="V5" s="4" t="s">
        <v>7073</v>
      </c>
      <c r="W5" s="4" t="s">
        <v>7074</v>
      </c>
      <c r="X5" s="4" t="s">
        <v>7129</v>
      </c>
      <c r="Y5" s="4" t="s">
        <v>7130</v>
      </c>
      <c r="Z5" s="4" t="s">
        <v>1952</v>
      </c>
      <c r="AR5" s="86" t="s">
        <v>7131</v>
      </c>
      <c r="AS5" s="86" t="s">
        <v>7132</v>
      </c>
      <c r="AT5" s="86" t="s">
        <v>5068</v>
      </c>
      <c r="AU5" s="86" t="s">
        <v>7133</v>
      </c>
      <c r="BA5" s="73"/>
      <c r="BB5" s="19" t="s">
        <v>7134</v>
      </c>
    </row>
    <row r="6" spans="1:67">
      <c r="A6" s="4" t="s">
        <v>5068</v>
      </c>
      <c r="C6" s="4" t="s">
        <v>3511</v>
      </c>
      <c r="D6" s="4" t="s">
        <v>7135</v>
      </c>
      <c r="E6" s="59" t="s">
        <v>5068</v>
      </c>
      <c r="F6" s="59" t="s">
        <v>7136</v>
      </c>
      <c r="I6" s="66" t="s">
        <v>5068</v>
      </c>
      <c r="J6" s="66" t="s">
        <v>7137</v>
      </c>
      <c r="K6" s="85" t="s">
        <v>3511</v>
      </c>
      <c r="L6" s="85" t="s">
        <v>7138</v>
      </c>
      <c r="M6" s="84" t="s">
        <v>5068</v>
      </c>
      <c r="N6" s="51" t="s">
        <v>7139</v>
      </c>
      <c r="O6" s="53" t="s">
        <v>3511</v>
      </c>
      <c r="P6" s="53" t="s">
        <v>7140</v>
      </c>
      <c r="R6" s="4" t="s">
        <v>7141</v>
      </c>
      <c r="S6" s="4" t="s">
        <v>7142</v>
      </c>
      <c r="T6" s="4" t="s">
        <v>7143</v>
      </c>
      <c r="U6" s="4" t="s">
        <v>7144</v>
      </c>
      <c r="V6" s="4" t="s">
        <v>7073</v>
      </c>
      <c r="W6" s="4" t="s">
        <v>7145</v>
      </c>
      <c r="X6" s="4" t="s">
        <v>7146</v>
      </c>
      <c r="Y6" s="4" t="s">
        <v>7147</v>
      </c>
      <c r="Z6" s="4" t="s">
        <v>3950</v>
      </c>
      <c r="AA6" s="4" t="s">
        <v>7148</v>
      </c>
      <c r="AF6" s="4" t="s">
        <v>7149</v>
      </c>
      <c r="AR6" s="86" t="s">
        <v>7150</v>
      </c>
      <c r="AS6" s="86" t="s">
        <v>7151</v>
      </c>
      <c r="AT6" s="86" t="s">
        <v>3518</v>
      </c>
      <c r="AU6" s="86" t="s">
        <v>3517</v>
      </c>
      <c r="BA6" s="73"/>
      <c r="BB6" s="19" t="s">
        <v>7152</v>
      </c>
      <c r="BM6" s="18" t="s">
        <v>7153</v>
      </c>
      <c r="BN6" s="4" t="s">
        <v>7071</v>
      </c>
      <c r="BO6" s="4" t="s">
        <v>124</v>
      </c>
    </row>
    <row r="7" spans="1:67">
      <c r="A7" s="4" t="s">
        <v>3518</v>
      </c>
      <c r="C7" s="4" t="s">
        <v>4102</v>
      </c>
      <c r="E7" s="59" t="s">
        <v>3518</v>
      </c>
      <c r="F7" s="59" t="s">
        <v>7154</v>
      </c>
      <c r="G7" s="84" t="s">
        <v>7155</v>
      </c>
      <c r="I7" s="66" t="s">
        <v>3518</v>
      </c>
      <c r="J7" s="66" t="s">
        <v>7156</v>
      </c>
      <c r="K7" s="85" t="s">
        <v>4102</v>
      </c>
      <c r="L7" s="85" t="s">
        <v>7157</v>
      </c>
      <c r="M7" s="84" t="s">
        <v>3518</v>
      </c>
      <c r="N7" s="51" t="s">
        <v>7158</v>
      </c>
      <c r="O7" s="53" t="s">
        <v>4102</v>
      </c>
      <c r="P7" s="53" t="s">
        <v>7159</v>
      </c>
      <c r="AD7" s="4" t="s">
        <v>7160</v>
      </c>
      <c r="AE7" s="4" t="s">
        <v>7161</v>
      </c>
      <c r="AR7" s="86" t="s">
        <v>7162</v>
      </c>
      <c r="AS7" s="86" t="s">
        <v>7163</v>
      </c>
      <c r="AT7" s="86" t="s">
        <v>5111</v>
      </c>
      <c r="AU7" s="86" t="s">
        <v>3520</v>
      </c>
      <c r="BA7" s="73"/>
      <c r="BB7" s="73"/>
      <c r="BM7" s="18" t="s">
        <v>7164</v>
      </c>
      <c r="BN7" s="4" t="s">
        <v>7165</v>
      </c>
      <c r="BO7" s="4" t="s">
        <v>2111</v>
      </c>
    </row>
    <row r="8" spans="1:67">
      <c r="A8" s="4" t="s">
        <v>5111</v>
      </c>
      <c r="C8" s="4" t="s">
        <v>4104</v>
      </c>
      <c r="E8" s="59" t="s">
        <v>5111</v>
      </c>
      <c r="F8" s="59" t="s">
        <v>7166</v>
      </c>
      <c r="G8" s="84" t="s">
        <v>7167</v>
      </c>
      <c r="I8" s="66" t="s">
        <v>5111</v>
      </c>
      <c r="J8" s="66" t="s">
        <v>7168</v>
      </c>
      <c r="K8" s="85" t="s">
        <v>4104</v>
      </c>
      <c r="L8" s="85" t="s">
        <v>7169</v>
      </c>
      <c r="M8" s="84" t="s">
        <v>5111</v>
      </c>
      <c r="N8" s="51" t="s">
        <v>7170</v>
      </c>
      <c r="O8" s="53" t="s">
        <v>4104</v>
      </c>
      <c r="P8" s="53" t="s">
        <v>7171</v>
      </c>
      <c r="R8" s="4" t="s">
        <v>7069</v>
      </c>
      <c r="S8" s="4" t="s">
        <v>7070</v>
      </c>
      <c r="T8" s="4" t="s">
        <v>7071</v>
      </c>
      <c r="U8" s="4" t="s">
        <v>7072</v>
      </c>
      <c r="V8" s="4" t="s">
        <v>7073</v>
      </c>
      <c r="W8" s="4" t="s">
        <v>7074</v>
      </c>
      <c r="X8" s="4" t="s">
        <v>7075</v>
      </c>
      <c r="Y8" s="4" t="s">
        <v>7076</v>
      </c>
      <c r="Z8" s="4" t="s">
        <v>3478</v>
      </c>
      <c r="AD8" s="4" t="s">
        <v>7071</v>
      </c>
      <c r="AE8" s="4" t="s">
        <v>3478</v>
      </c>
      <c r="AF8" s="4" t="s">
        <v>7172</v>
      </c>
      <c r="AH8" s="4" t="s">
        <v>7173</v>
      </c>
      <c r="AR8" s="86" t="s">
        <v>7174</v>
      </c>
      <c r="AS8" s="86" t="s">
        <v>7175</v>
      </c>
      <c r="AT8" s="86" t="s">
        <v>5137</v>
      </c>
      <c r="AU8" s="86" t="s">
        <v>7176</v>
      </c>
      <c r="BA8" s="73"/>
      <c r="BB8" s="19" t="s">
        <v>7177</v>
      </c>
      <c r="BM8" s="18" t="s">
        <v>7178</v>
      </c>
      <c r="BN8" s="4" t="s">
        <v>7179</v>
      </c>
      <c r="BO8" s="4" t="s">
        <v>2102</v>
      </c>
    </row>
    <row r="9" spans="1:67">
      <c r="A9" s="4" t="s">
        <v>5137</v>
      </c>
      <c r="C9" s="4" t="s">
        <v>3950</v>
      </c>
      <c r="E9" s="59" t="s">
        <v>5137</v>
      </c>
      <c r="F9" s="59" t="s">
        <v>7180</v>
      </c>
      <c r="G9" s="84" t="s">
        <v>7181</v>
      </c>
      <c r="H9" s="84" t="s">
        <v>7182</v>
      </c>
      <c r="I9" s="87" t="s">
        <v>5137</v>
      </c>
      <c r="J9" s="87" t="s">
        <v>3492</v>
      </c>
      <c r="K9" s="85" t="s">
        <v>3950</v>
      </c>
      <c r="L9" s="85" t="s">
        <v>7183</v>
      </c>
      <c r="M9" s="84" t="s">
        <v>5137</v>
      </c>
      <c r="N9" s="51" t="s">
        <v>7184</v>
      </c>
      <c r="O9" s="53" t="s">
        <v>3950</v>
      </c>
      <c r="P9" s="53" t="s">
        <v>7185</v>
      </c>
      <c r="R9" s="4" t="s">
        <v>7154</v>
      </c>
      <c r="S9" s="4" t="s">
        <v>7115</v>
      </c>
      <c r="T9" s="4" t="s">
        <v>7101</v>
      </c>
      <c r="U9" s="4" t="s">
        <v>7072</v>
      </c>
      <c r="V9" s="4" t="s">
        <v>7073</v>
      </c>
      <c r="W9" s="4" t="s">
        <v>7074</v>
      </c>
      <c r="X9" s="4" t="s">
        <v>7116</v>
      </c>
      <c r="Y9" s="4" t="s">
        <v>7117</v>
      </c>
      <c r="Z9" s="4" t="s">
        <v>4113</v>
      </c>
      <c r="AD9" s="4" t="s">
        <v>7165</v>
      </c>
      <c r="AE9" s="4" t="s">
        <v>7186</v>
      </c>
      <c r="AR9" s="4" t="s">
        <v>7187</v>
      </c>
      <c r="AS9" s="4" t="s">
        <v>7188</v>
      </c>
      <c r="BA9" s="73"/>
      <c r="BB9" s="19" t="s">
        <v>7189</v>
      </c>
      <c r="BM9" s="18" t="s">
        <v>7190</v>
      </c>
      <c r="BN9" s="4" t="s">
        <v>7191</v>
      </c>
      <c r="BO9" s="4" t="s">
        <v>6821</v>
      </c>
    </row>
    <row r="10" spans="1:67">
      <c r="A10" s="4" t="s">
        <v>3487</v>
      </c>
      <c r="C10" s="4" t="s">
        <v>3502</v>
      </c>
      <c r="D10" s="4" t="s">
        <v>7192</v>
      </c>
      <c r="E10" s="59" t="s">
        <v>3487</v>
      </c>
      <c r="F10" s="59" t="s">
        <v>7193</v>
      </c>
      <c r="G10" s="84" t="s">
        <v>7194</v>
      </c>
      <c r="I10" s="87" t="s">
        <v>3487</v>
      </c>
      <c r="J10" s="87" t="s">
        <v>3495</v>
      </c>
      <c r="K10" s="85" t="s">
        <v>3502</v>
      </c>
      <c r="L10" s="85" t="s">
        <v>7195</v>
      </c>
      <c r="M10" s="84" t="s">
        <v>3487</v>
      </c>
      <c r="N10" s="51" t="s">
        <v>7196</v>
      </c>
      <c r="O10" s="53" t="s">
        <v>3502</v>
      </c>
      <c r="P10" s="53" t="s">
        <v>7197</v>
      </c>
      <c r="R10" s="4" t="s">
        <v>7198</v>
      </c>
      <c r="S10" s="4" t="s">
        <v>7100</v>
      </c>
      <c r="T10" s="4" t="s">
        <v>7071</v>
      </c>
      <c r="U10" s="4" t="s">
        <v>7072</v>
      </c>
      <c r="V10" s="4" t="s">
        <v>7073</v>
      </c>
      <c r="W10" s="4" t="s">
        <v>7074</v>
      </c>
      <c r="X10" s="4" t="s">
        <v>7102</v>
      </c>
      <c r="Y10" s="4" t="s">
        <v>7103</v>
      </c>
      <c r="Z10" s="4" t="s">
        <v>3483</v>
      </c>
      <c r="AD10" s="4" t="s">
        <v>7179</v>
      </c>
      <c r="AE10" s="4" t="s">
        <v>7199</v>
      </c>
      <c r="AF10" s="4" t="s">
        <v>7200</v>
      </c>
      <c r="AR10" s="4" t="s">
        <v>7201</v>
      </c>
      <c r="AS10" s="4" t="s">
        <v>7202</v>
      </c>
      <c r="BA10" s="73"/>
      <c r="BB10" s="19" t="s">
        <v>7203</v>
      </c>
      <c r="BM10" s="18" t="s">
        <v>7204</v>
      </c>
      <c r="BN10" s="4" t="s">
        <v>7205</v>
      </c>
      <c r="BO10" s="4" t="s">
        <v>7206</v>
      </c>
    </row>
    <row r="11" spans="1:67">
      <c r="A11" s="4" t="s">
        <v>7207</v>
      </c>
      <c r="C11" s="4" t="s">
        <v>3505</v>
      </c>
      <c r="E11" s="59" t="s">
        <v>7207</v>
      </c>
      <c r="F11" s="59" t="s">
        <v>7208</v>
      </c>
      <c r="I11" s="87" t="s">
        <v>7207</v>
      </c>
      <c r="J11" s="87" t="s">
        <v>7209</v>
      </c>
      <c r="K11" s="85" t="s">
        <v>3505</v>
      </c>
      <c r="M11" s="84" t="s">
        <v>7207</v>
      </c>
      <c r="N11" s="84" t="s">
        <v>7210</v>
      </c>
      <c r="O11" s="53" t="s">
        <v>3505</v>
      </c>
      <c r="P11" s="53" t="s">
        <v>7211</v>
      </c>
      <c r="R11" s="4" t="s">
        <v>7212</v>
      </c>
      <c r="S11" s="4" t="s">
        <v>7070</v>
      </c>
      <c r="T11" s="4" t="s">
        <v>7071</v>
      </c>
      <c r="U11" s="4" t="s">
        <v>7072</v>
      </c>
      <c r="V11" s="4" t="s">
        <v>7073</v>
      </c>
      <c r="W11" s="4" t="s">
        <v>7074</v>
      </c>
      <c r="X11" s="4" t="s">
        <v>7075</v>
      </c>
      <c r="Y11" s="4" t="s">
        <v>7076</v>
      </c>
      <c r="Z11" s="4" t="s">
        <v>3478</v>
      </c>
      <c r="AD11" s="4" t="s">
        <v>7191</v>
      </c>
      <c r="AE11" s="4" t="s">
        <v>7213</v>
      </c>
      <c r="AF11" s="4" t="s">
        <v>7214</v>
      </c>
      <c r="AR11" s="86" t="s">
        <v>7215</v>
      </c>
      <c r="AS11" s="86" t="s">
        <v>7216</v>
      </c>
      <c r="AT11" s="86" t="s">
        <v>3487</v>
      </c>
      <c r="AU11" s="86" t="s">
        <v>7128</v>
      </c>
      <c r="BA11" s="73"/>
      <c r="BB11" s="19" t="s">
        <v>7217</v>
      </c>
      <c r="BM11" s="18" t="s">
        <v>7218</v>
      </c>
      <c r="BN11" s="4" t="s">
        <v>7219</v>
      </c>
      <c r="BO11" s="4" t="s">
        <v>7220</v>
      </c>
    </row>
    <row r="12" spans="1:67">
      <c r="A12" s="4" t="s">
        <v>6913</v>
      </c>
      <c r="C12" s="4" t="s">
        <v>1952</v>
      </c>
      <c r="E12" s="59" t="s">
        <v>6913</v>
      </c>
      <c r="F12" s="59" t="s">
        <v>7221</v>
      </c>
      <c r="I12" s="87" t="s">
        <v>6913</v>
      </c>
      <c r="J12" s="87" t="s">
        <v>7222</v>
      </c>
      <c r="K12" s="85" t="s">
        <v>1952</v>
      </c>
      <c r="M12" s="84" t="s">
        <v>6913</v>
      </c>
      <c r="N12" s="84" t="s">
        <v>7223</v>
      </c>
      <c r="O12" s="53" t="s">
        <v>1952</v>
      </c>
      <c r="P12" s="53" t="s">
        <v>7224</v>
      </c>
      <c r="R12" s="4" t="s">
        <v>7225</v>
      </c>
      <c r="AD12" s="4" t="s">
        <v>7205</v>
      </c>
      <c r="AE12" s="4" t="s">
        <v>7226</v>
      </c>
      <c r="AF12" s="4" t="s">
        <v>7227</v>
      </c>
      <c r="AR12" s="4" t="s">
        <v>7228</v>
      </c>
      <c r="AS12" s="4" t="s">
        <v>7229</v>
      </c>
      <c r="BA12" s="73"/>
      <c r="BB12" s="19" t="s">
        <v>7230</v>
      </c>
      <c r="BM12" s="18" t="s">
        <v>7231</v>
      </c>
      <c r="BN12" s="4" t="s">
        <v>7232</v>
      </c>
      <c r="BO12" s="4" t="s">
        <v>7233</v>
      </c>
    </row>
    <row r="13" spans="1:67">
      <c r="A13" s="4" t="s">
        <v>7234</v>
      </c>
      <c r="C13" s="4" t="s">
        <v>4110</v>
      </c>
      <c r="E13" s="59" t="s">
        <v>7234</v>
      </c>
      <c r="F13" s="59" t="s">
        <v>7235</v>
      </c>
      <c r="I13" s="87" t="s">
        <v>7234</v>
      </c>
      <c r="J13" s="87" t="s">
        <v>7236</v>
      </c>
      <c r="K13" s="85" t="s">
        <v>4110</v>
      </c>
      <c r="M13" s="84" t="s">
        <v>7234</v>
      </c>
      <c r="N13" s="84" t="s">
        <v>7237</v>
      </c>
      <c r="O13" s="53" t="s">
        <v>4110</v>
      </c>
      <c r="P13" s="53" t="s">
        <v>7238</v>
      </c>
      <c r="R13" s="4" t="s">
        <v>7141</v>
      </c>
      <c r="AD13" s="4" t="s">
        <v>7144</v>
      </c>
      <c r="AE13" s="4" t="s">
        <v>7239</v>
      </c>
      <c r="AF13" s="4" t="s">
        <v>7240</v>
      </c>
      <c r="AR13" s="4" t="s">
        <v>7241</v>
      </c>
      <c r="AS13" s="4" t="s">
        <v>7242</v>
      </c>
      <c r="BA13" s="73"/>
      <c r="BB13" s="73"/>
      <c r="BC13"/>
      <c r="BD13"/>
      <c r="BM13" s="18" t="s">
        <v>7243</v>
      </c>
      <c r="BN13" s="4" t="s">
        <v>7072</v>
      </c>
      <c r="BO13" s="4" t="s">
        <v>7244</v>
      </c>
    </row>
    <row r="14" spans="1:67">
      <c r="A14" s="4" t="s">
        <v>7245</v>
      </c>
      <c r="C14" s="4" t="s">
        <v>4994</v>
      </c>
      <c r="E14" s="59" t="s">
        <v>7245</v>
      </c>
      <c r="F14" s="59" t="s">
        <v>7246</v>
      </c>
      <c r="G14" s="84" t="s">
        <v>7247</v>
      </c>
      <c r="I14" s="87" t="s">
        <v>7245</v>
      </c>
      <c r="J14" s="87" t="s">
        <v>7248</v>
      </c>
      <c r="K14" s="85" t="s">
        <v>4994</v>
      </c>
      <c r="M14" s="84" t="s">
        <v>7245</v>
      </c>
      <c r="O14" s="53" t="s">
        <v>4994</v>
      </c>
      <c r="AD14" s="4" t="s">
        <v>3512</v>
      </c>
      <c r="AE14" s="4" t="s">
        <v>7249</v>
      </c>
      <c r="AF14" s="4" t="s">
        <v>7250</v>
      </c>
      <c r="AR14" s="86" t="s">
        <v>7251</v>
      </c>
      <c r="AS14" s="86" t="s">
        <v>7252</v>
      </c>
      <c r="AT14" s="86" t="s">
        <v>7207</v>
      </c>
      <c r="AU14" s="86" t="s">
        <v>7253</v>
      </c>
      <c r="BA14" s="73"/>
      <c r="BB14" s="19" t="s">
        <v>7254</v>
      </c>
      <c r="BD14"/>
      <c r="BM14" s="18" t="s">
        <v>7255</v>
      </c>
      <c r="BN14" s="4" t="s">
        <v>7256</v>
      </c>
      <c r="BO14" s="4" t="s">
        <v>7257</v>
      </c>
    </row>
    <row r="15" spans="1:67">
      <c r="A15" s="4" t="s">
        <v>7258</v>
      </c>
      <c r="C15" s="4" t="s">
        <v>4113</v>
      </c>
      <c r="E15" s="59" t="s">
        <v>7258</v>
      </c>
      <c r="F15" s="59" t="s">
        <v>7259</v>
      </c>
      <c r="G15" s="84" t="s">
        <v>7260</v>
      </c>
      <c r="K15" s="85" t="s">
        <v>4113</v>
      </c>
      <c r="M15" s="84" t="s">
        <v>7258</v>
      </c>
      <c r="O15" s="53" t="s">
        <v>4113</v>
      </c>
      <c r="AD15" s="4" t="s">
        <v>3458</v>
      </c>
      <c r="AE15" s="4" t="s">
        <v>7261</v>
      </c>
      <c r="AF15" s="4" t="s">
        <v>7262</v>
      </c>
      <c r="AR15" s="4" t="s">
        <v>7263</v>
      </c>
      <c r="AS15" s="4" t="s">
        <v>7264</v>
      </c>
      <c r="BA15" s="73"/>
      <c r="BB15" s="19" t="s">
        <v>7265</v>
      </c>
      <c r="BD15"/>
      <c r="BM15" s="18" t="s">
        <v>7266</v>
      </c>
      <c r="BN15" s="4" t="s">
        <v>7144</v>
      </c>
      <c r="BO15" s="4" t="s">
        <v>7267</v>
      </c>
    </row>
    <row r="16" spans="1:67">
      <c r="A16" s="4" t="s">
        <v>1826</v>
      </c>
      <c r="C16" s="4" t="s">
        <v>4997</v>
      </c>
      <c r="E16" s="59" t="s">
        <v>1826</v>
      </c>
      <c r="F16" s="59" t="s">
        <v>7268</v>
      </c>
      <c r="G16" s="84" t="s">
        <v>7269</v>
      </c>
      <c r="K16" s="85" t="s">
        <v>4997</v>
      </c>
      <c r="M16" s="84" t="s">
        <v>1826</v>
      </c>
      <c r="O16" s="53" t="s">
        <v>4997</v>
      </c>
      <c r="AF16" s="4" t="s">
        <v>7270</v>
      </c>
      <c r="AR16" s="4" t="s">
        <v>7271</v>
      </c>
      <c r="AS16" s="4" t="s">
        <v>7272</v>
      </c>
      <c r="BA16" s="73"/>
      <c r="BB16" s="19" t="s">
        <v>7273</v>
      </c>
      <c r="BD16"/>
      <c r="BM16" s="18" t="s">
        <v>7274</v>
      </c>
      <c r="BN16" s="4" t="s">
        <v>3512</v>
      </c>
      <c r="BO16" s="4" t="s">
        <v>7275</v>
      </c>
    </row>
    <row r="17" spans="1:67">
      <c r="A17" s="4" t="s">
        <v>7276</v>
      </c>
      <c r="C17" s="4" t="s">
        <v>1956</v>
      </c>
      <c r="E17" s="59" t="s">
        <v>7276</v>
      </c>
      <c r="F17" s="59" t="s">
        <v>7277</v>
      </c>
      <c r="K17" s="85" t="s">
        <v>1956</v>
      </c>
      <c r="M17" s="84" t="s">
        <v>7276</v>
      </c>
      <c r="O17" s="53" t="s">
        <v>1956</v>
      </c>
      <c r="AR17" s="86" t="s">
        <v>7278</v>
      </c>
      <c r="AS17" s="86" t="s">
        <v>7279</v>
      </c>
      <c r="AT17" s="86" t="s">
        <v>6913</v>
      </c>
      <c r="AU17" s="86" t="s">
        <v>7222</v>
      </c>
      <c r="BA17" s="73"/>
      <c r="BB17" s="19" t="s">
        <v>7280</v>
      </c>
      <c r="BD17"/>
      <c r="BM17" s="18" t="s">
        <v>7281</v>
      </c>
      <c r="BN17" s="4" t="s">
        <v>3458</v>
      </c>
      <c r="BO17" s="4" t="s">
        <v>7282</v>
      </c>
    </row>
    <row r="18" spans="1:67">
      <c r="D18" s="5" t="s">
        <v>3493</v>
      </c>
      <c r="E18" s="59" t="s">
        <v>7283</v>
      </c>
      <c r="G18" s="84" t="s">
        <v>7284</v>
      </c>
      <c r="AF18" s="4" t="s">
        <v>7285</v>
      </c>
      <c r="AR18" s="4" t="s">
        <v>7286</v>
      </c>
      <c r="AS18" s="4" t="s">
        <v>7287</v>
      </c>
      <c r="BA18" s="73"/>
      <c r="BB18" s="19" t="s">
        <v>7288</v>
      </c>
      <c r="BD18"/>
      <c r="BM18" s="18" t="s">
        <v>7289</v>
      </c>
      <c r="BN18" s="4" t="s">
        <v>3463</v>
      </c>
      <c r="BO18" s="4" t="s">
        <v>7290</v>
      </c>
    </row>
    <row r="19" spans="1:67">
      <c r="D19" s="5" t="s">
        <v>5001</v>
      </c>
      <c r="E19" s="59" t="s">
        <v>7291</v>
      </c>
      <c r="G19" s="84" t="s">
        <v>7292</v>
      </c>
      <c r="I19" s="66" t="s">
        <v>7293</v>
      </c>
      <c r="AD19" s="4" t="s">
        <v>7256</v>
      </c>
      <c r="AE19" s="4" t="s">
        <v>7294</v>
      </c>
      <c r="AR19" s="4" t="s">
        <v>7295</v>
      </c>
      <c r="AS19" s="4" t="s">
        <v>7296</v>
      </c>
      <c r="BA19" s="73"/>
      <c r="BB19" s="19" t="s">
        <v>7297</v>
      </c>
      <c r="BD19"/>
      <c r="BM19" s="18" t="s">
        <v>7298</v>
      </c>
      <c r="BN19" s="4" t="s">
        <v>3443</v>
      </c>
      <c r="BO19" s="4" t="s">
        <v>7299</v>
      </c>
    </row>
    <row r="20" spans="1:67">
      <c r="D20" s="5" t="s">
        <v>3953</v>
      </c>
      <c r="E20" s="59" t="s">
        <v>7300</v>
      </c>
      <c r="G20" s="84" t="s">
        <v>7301</v>
      </c>
      <c r="AF20" s="4" t="s">
        <v>7302</v>
      </c>
      <c r="AR20" s="86" t="s">
        <v>7303</v>
      </c>
      <c r="AS20" s="86" t="s">
        <v>7304</v>
      </c>
      <c r="AT20" s="86" t="s">
        <v>7234</v>
      </c>
      <c r="AU20" s="86" t="s">
        <v>7236</v>
      </c>
      <c r="AV20" s="4" t="s">
        <v>7305</v>
      </c>
      <c r="BA20" s="73"/>
      <c r="BB20" s="19" t="s">
        <v>7306</v>
      </c>
      <c r="BD20"/>
      <c r="BM20" s="18" t="s">
        <v>7307</v>
      </c>
      <c r="BN20" s="4" t="s">
        <v>3466</v>
      </c>
      <c r="BO20" s="4" t="s">
        <v>7308</v>
      </c>
    </row>
    <row r="21" spans="1:67">
      <c r="D21" s="5" t="s">
        <v>5004</v>
      </c>
      <c r="E21" s="59" t="s">
        <v>7309</v>
      </c>
      <c r="G21" s="84" t="s">
        <v>7310</v>
      </c>
      <c r="AR21" s="4" t="s">
        <v>7311</v>
      </c>
      <c r="AS21" s="4" t="s">
        <v>7312</v>
      </c>
      <c r="AV21" s="19" t="s">
        <v>7313</v>
      </c>
      <c r="AW21" s="4" t="s">
        <v>7314</v>
      </c>
      <c r="BA21" s="73"/>
      <c r="BB21" s="73"/>
      <c r="BD21"/>
      <c r="BM21" s="18" t="s">
        <v>7315</v>
      </c>
      <c r="BN21" s="4" t="s">
        <v>3536</v>
      </c>
      <c r="BO21" s="4" t="s">
        <v>7316</v>
      </c>
    </row>
    <row r="22" spans="1:67">
      <c r="D22" s="5" t="s">
        <v>5006</v>
      </c>
      <c r="E22" s="59" t="s">
        <v>7317</v>
      </c>
      <c r="AR22" s="4" t="s">
        <v>7318</v>
      </c>
      <c r="AS22" s="4" t="s">
        <v>7319</v>
      </c>
      <c r="AV22" s="4" t="s">
        <v>7320</v>
      </c>
      <c r="BA22" s="73"/>
      <c r="BB22" s="19" t="s">
        <v>7321</v>
      </c>
      <c r="BD22"/>
    </row>
    <row r="23" spans="1:67">
      <c r="D23" s="5" t="s">
        <v>5008</v>
      </c>
      <c r="E23" s="59" t="s">
        <v>7322</v>
      </c>
      <c r="AR23" s="86" t="s">
        <v>7323</v>
      </c>
      <c r="AS23" s="86" t="s">
        <v>7175</v>
      </c>
      <c r="AT23" s="86" t="s">
        <v>7245</v>
      </c>
      <c r="AU23" s="86" t="s">
        <v>7248</v>
      </c>
      <c r="AV23" s="4" t="s">
        <v>7324</v>
      </c>
      <c r="AW23" s="4" t="s">
        <v>7325</v>
      </c>
      <c r="BA23" s="73"/>
      <c r="BB23" s="73"/>
      <c r="BD23"/>
    </row>
    <row r="24" spans="1:67">
      <c r="G24" s="84" t="s">
        <v>7326</v>
      </c>
      <c r="AF24" s="4" t="s">
        <v>7327</v>
      </c>
      <c r="AR24" s="4" t="s">
        <v>7328</v>
      </c>
      <c r="AS24" s="4" t="s">
        <v>7188</v>
      </c>
      <c r="AV24" s="4" t="s">
        <v>7329</v>
      </c>
      <c r="AW24" s="4" t="s">
        <v>7330</v>
      </c>
      <c r="BA24" s="73"/>
      <c r="BB24" s="19" t="s">
        <v>7331</v>
      </c>
      <c r="BD24"/>
    </row>
    <row r="25" spans="1:67">
      <c r="AR25" s="4" t="s">
        <v>7332</v>
      </c>
      <c r="AS25" s="4" t="s">
        <v>7202</v>
      </c>
      <c r="AV25" s="4" t="s">
        <v>7333</v>
      </c>
      <c r="AW25" s="4" t="s">
        <v>7334</v>
      </c>
      <c r="BA25" s="73"/>
      <c r="BB25" s="19" t="s">
        <v>7335</v>
      </c>
      <c r="BD25"/>
    </row>
    <row r="26" spans="1:67">
      <c r="AV26" s="4" t="s">
        <v>7336</v>
      </c>
      <c r="AW26" s="4" t="s">
        <v>7337</v>
      </c>
      <c r="BA26" s="73"/>
      <c r="BB26" s="88" t="s">
        <v>7338</v>
      </c>
      <c r="BD26"/>
    </row>
    <row r="27" spans="1:67">
      <c r="H27" s="19" t="s">
        <v>7339</v>
      </c>
      <c r="AR27" s="4" t="s">
        <v>7340</v>
      </c>
      <c r="AV27" s="4" t="s">
        <v>7341</v>
      </c>
      <c r="AW27" s="4" t="s">
        <v>7342</v>
      </c>
      <c r="BA27" s="73"/>
      <c r="BB27" s="19" t="s">
        <v>7339</v>
      </c>
      <c r="BC27" s="4">
        <v>8</v>
      </c>
      <c r="BD27" t="s">
        <v>7069</v>
      </c>
      <c r="BE27" s="4">
        <v>1</v>
      </c>
      <c r="BF27" s="18" t="s">
        <v>7343</v>
      </c>
      <c r="BG27" t="s">
        <v>7344</v>
      </c>
      <c r="BI27"/>
      <c r="BK27"/>
    </row>
    <row r="28" spans="1:67">
      <c r="H28" s="19" t="s">
        <v>7345</v>
      </c>
      <c r="AR28" s="4" t="s">
        <v>7071</v>
      </c>
      <c r="AS28" s="4" t="s">
        <v>3477</v>
      </c>
      <c r="BA28" s="73"/>
      <c r="BB28" s="19" t="s">
        <v>7345</v>
      </c>
      <c r="BC28" s="4">
        <v>8</v>
      </c>
      <c r="BD28" t="s">
        <v>7069</v>
      </c>
      <c r="BE28" s="4">
        <v>1</v>
      </c>
      <c r="BF28" s="18" t="s">
        <v>7346</v>
      </c>
      <c r="BG28" t="s">
        <v>7347</v>
      </c>
      <c r="BI28"/>
      <c r="BK28"/>
    </row>
    <row r="29" spans="1:67">
      <c r="H29" s="19" t="s">
        <v>7348</v>
      </c>
      <c r="AR29" s="4" t="s">
        <v>7165</v>
      </c>
      <c r="AS29" s="4" t="s">
        <v>3482</v>
      </c>
      <c r="AV29" s="4" t="s">
        <v>7349</v>
      </c>
      <c r="AW29" s="4" t="s">
        <v>7350</v>
      </c>
      <c r="BA29" s="73"/>
      <c r="BB29" s="19" t="s">
        <v>7348</v>
      </c>
      <c r="BC29" s="4">
        <v>8</v>
      </c>
      <c r="BD29" t="s">
        <v>7069</v>
      </c>
      <c r="BE29" s="4" t="s">
        <v>7179</v>
      </c>
      <c r="BF29" s="18" t="s">
        <v>7351</v>
      </c>
      <c r="BG29" s="4" t="s">
        <v>7352</v>
      </c>
    </row>
    <row r="30" spans="1:67">
      <c r="H30" s="19" t="s">
        <v>7353</v>
      </c>
      <c r="AR30" s="4" t="s">
        <v>7179</v>
      </c>
      <c r="AS30" s="4" t="s">
        <v>3486</v>
      </c>
      <c r="AV30" s="4" t="s">
        <v>7354</v>
      </c>
      <c r="AW30" s="4" t="s">
        <v>7355</v>
      </c>
      <c r="BA30" s="73"/>
      <c r="BB30" s="19" t="s">
        <v>7353</v>
      </c>
      <c r="BC30" s="4">
        <v>8</v>
      </c>
      <c r="BD30" t="s">
        <v>7069</v>
      </c>
      <c r="BE30" s="4" t="s">
        <v>7179</v>
      </c>
      <c r="BF30" s="18" t="s">
        <v>7356</v>
      </c>
      <c r="BG30" s="4" t="s">
        <v>7357</v>
      </c>
    </row>
    <row r="31" spans="1:67">
      <c r="H31" s="19" t="s">
        <v>7358</v>
      </c>
      <c r="I31" s="66" t="s">
        <v>7359</v>
      </c>
      <c r="AR31" s="4" t="s">
        <v>7191</v>
      </c>
      <c r="AS31" s="4" t="s">
        <v>3489</v>
      </c>
      <c r="AV31" s="4" t="s">
        <v>7360</v>
      </c>
      <c r="AW31" s="4" t="s">
        <v>7361</v>
      </c>
      <c r="BA31" s="73"/>
      <c r="BB31" s="19" t="s">
        <v>7358</v>
      </c>
      <c r="BC31" s="4">
        <v>8</v>
      </c>
      <c r="BD31" t="s">
        <v>7069</v>
      </c>
      <c r="BE31" s="4" t="s">
        <v>7179</v>
      </c>
      <c r="BF31" s="18" t="s">
        <v>7362</v>
      </c>
    </row>
    <row r="32" spans="1:67">
      <c r="H32" s="19" t="s">
        <v>7363</v>
      </c>
      <c r="AR32" s="4" t="s">
        <v>7205</v>
      </c>
      <c r="AS32" s="4" t="s">
        <v>3492</v>
      </c>
      <c r="AV32" s="4" t="s">
        <v>7364</v>
      </c>
      <c r="AW32" s="4" t="s">
        <v>7365</v>
      </c>
      <c r="BA32" s="73"/>
      <c r="BB32" s="19" t="s">
        <v>7363</v>
      </c>
      <c r="BC32" s="4">
        <v>0</v>
      </c>
      <c r="BD32" t="s">
        <v>7141</v>
      </c>
      <c r="BE32" s="4" t="s">
        <v>7165</v>
      </c>
      <c r="BF32" s="18" t="s">
        <v>7366</v>
      </c>
    </row>
    <row r="33" spans="6:69">
      <c r="AR33" s="4" t="s">
        <v>7219</v>
      </c>
      <c r="AS33" s="4" t="s">
        <v>3495</v>
      </c>
      <c r="AV33" s="4" t="s">
        <v>7367</v>
      </c>
      <c r="BA33" s="73"/>
      <c r="BB33" s="88" t="s">
        <v>7368</v>
      </c>
      <c r="BD33"/>
    </row>
    <row r="34" spans="6:69">
      <c r="F34" s="59" t="s">
        <v>5012</v>
      </c>
      <c r="AR34" s="4" t="s">
        <v>7232</v>
      </c>
      <c r="AS34" s="4" t="s">
        <v>3498</v>
      </c>
      <c r="BA34" s="73"/>
      <c r="BB34" s="19" t="s">
        <v>7369</v>
      </c>
      <c r="BC34" s="4">
        <v>8</v>
      </c>
      <c r="BD34" t="s">
        <v>7069</v>
      </c>
      <c r="BE34" s="4">
        <v>1</v>
      </c>
      <c r="BF34" s="18" t="s">
        <v>7370</v>
      </c>
      <c r="BG34" s="4" t="s">
        <v>7344</v>
      </c>
    </row>
    <row r="35" spans="6:69">
      <c r="AR35" s="4" t="s">
        <v>7072</v>
      </c>
      <c r="AS35" s="4" t="s">
        <v>3501</v>
      </c>
      <c r="AV35" s="4" t="s">
        <v>7371</v>
      </c>
      <c r="AW35" s="4" t="s">
        <v>7372</v>
      </c>
      <c r="BA35" s="73"/>
      <c r="BB35" s="19" t="s">
        <v>7373</v>
      </c>
      <c r="BC35" s="4">
        <v>8</v>
      </c>
      <c r="BD35" t="s">
        <v>7069</v>
      </c>
      <c r="BE35" s="4">
        <v>2</v>
      </c>
      <c r="BF35" s="18" t="s">
        <v>7374</v>
      </c>
      <c r="BG35" s="4" t="s">
        <v>7347</v>
      </c>
    </row>
    <row r="36" spans="6:69">
      <c r="G36" s="84" t="s">
        <v>7375</v>
      </c>
      <c r="AR36" s="4" t="s">
        <v>7256</v>
      </c>
      <c r="AS36" s="4" t="s">
        <v>3504</v>
      </c>
      <c r="BA36" s="73"/>
      <c r="BB36" s="19" t="s">
        <v>7376</v>
      </c>
      <c r="BC36" s="4">
        <v>8</v>
      </c>
      <c r="BD36" t="s">
        <v>7069</v>
      </c>
      <c r="BE36" s="4" t="s">
        <v>7179</v>
      </c>
      <c r="BF36" s="18" t="s">
        <v>7377</v>
      </c>
      <c r="BG36" s="4" t="s">
        <v>7352</v>
      </c>
    </row>
    <row r="37" spans="6:69">
      <c r="AR37" s="4" t="s">
        <v>7144</v>
      </c>
      <c r="AS37" s="4" t="s">
        <v>3507</v>
      </c>
      <c r="AV37" s="4" t="s">
        <v>7378</v>
      </c>
      <c r="BA37" s="73"/>
      <c r="BB37" s="19" t="s">
        <v>7379</v>
      </c>
      <c r="BC37" s="4">
        <v>8</v>
      </c>
      <c r="BD37" t="s">
        <v>7069</v>
      </c>
      <c r="BE37" s="4" t="s">
        <v>7165</v>
      </c>
      <c r="BF37" s="18" t="s">
        <v>7380</v>
      </c>
      <c r="BG37" s="4" t="s">
        <v>7357</v>
      </c>
    </row>
    <row r="38" spans="6:69">
      <c r="AR38" s="4" t="s">
        <v>3512</v>
      </c>
      <c r="AS38" s="4" t="s">
        <v>3510</v>
      </c>
      <c r="BA38" s="73"/>
      <c r="BB38" s="19" t="s">
        <v>7381</v>
      </c>
      <c r="BC38" s="4">
        <v>8</v>
      </c>
      <c r="BD38" t="s">
        <v>7069</v>
      </c>
      <c r="BE38" s="4" t="s">
        <v>7179</v>
      </c>
      <c r="BF38" s="18" t="s">
        <v>7382</v>
      </c>
    </row>
    <row r="39" spans="6:69">
      <c r="AR39" s="4" t="s">
        <v>3458</v>
      </c>
      <c r="AS39" s="4" t="s">
        <v>3514</v>
      </c>
      <c r="BA39" s="73"/>
      <c r="BB39" s="19" t="s">
        <v>7383</v>
      </c>
      <c r="BC39" s="4">
        <v>0</v>
      </c>
      <c r="BD39" t="s">
        <v>7141</v>
      </c>
      <c r="BE39" s="4" t="s">
        <v>7165</v>
      </c>
      <c r="BF39" s="18" t="s">
        <v>7384</v>
      </c>
    </row>
    <row r="40" spans="6:69">
      <c r="AR40" s="4" t="s">
        <v>3463</v>
      </c>
      <c r="AS40" s="4" t="s">
        <v>3517</v>
      </c>
      <c r="BA40" s="73"/>
      <c r="BB40" s="88" t="s">
        <v>7385</v>
      </c>
      <c r="BD40"/>
    </row>
    <row r="41" spans="6:69">
      <c r="AR41" s="4" t="s">
        <v>3443</v>
      </c>
      <c r="AS41" s="4" t="s">
        <v>3520</v>
      </c>
      <c r="BA41" s="73"/>
      <c r="BB41" s="19" t="s">
        <v>7386</v>
      </c>
      <c r="BC41" s="4">
        <v>8</v>
      </c>
      <c r="BD41" t="s">
        <v>7069</v>
      </c>
      <c r="BE41" s="4">
        <v>1</v>
      </c>
      <c r="BF41" s="18" t="s">
        <v>7387</v>
      </c>
      <c r="BG41" s="4" t="s">
        <v>7388</v>
      </c>
    </row>
    <row r="42" spans="6:69">
      <c r="AR42" s="4" t="s">
        <v>3466</v>
      </c>
      <c r="BA42" s="73"/>
      <c r="BB42" s="19" t="s">
        <v>7389</v>
      </c>
      <c r="BC42" s="4">
        <v>8</v>
      </c>
      <c r="BD42" t="s">
        <v>7069</v>
      </c>
      <c r="BE42" s="4">
        <v>2</v>
      </c>
      <c r="BF42" s="18" t="s">
        <v>7390</v>
      </c>
      <c r="BG42" s="4" t="s">
        <v>7391</v>
      </c>
    </row>
    <row r="43" spans="6:69">
      <c r="AR43" s="4" t="s">
        <v>3536</v>
      </c>
      <c r="BA43" s="73"/>
      <c r="BB43" s="19" t="s">
        <v>7392</v>
      </c>
      <c r="BC43" s="4">
        <v>8</v>
      </c>
      <c r="BD43" t="s">
        <v>7069</v>
      </c>
      <c r="BE43" s="4" t="s">
        <v>7179</v>
      </c>
      <c r="BF43" s="18" t="s">
        <v>7393</v>
      </c>
    </row>
    <row r="44" spans="6:69">
      <c r="BA44" s="73"/>
      <c r="BB44" s="19" t="s">
        <v>7394</v>
      </c>
      <c r="BC44" s="4">
        <v>8</v>
      </c>
      <c r="BD44" t="s">
        <v>7069</v>
      </c>
      <c r="BE44" s="4" t="s">
        <v>7165</v>
      </c>
      <c r="BF44" s="18" t="s">
        <v>7395</v>
      </c>
    </row>
    <row r="45" spans="6:69">
      <c r="BA45" s="73"/>
      <c r="BB45" s="19" t="s">
        <v>7396</v>
      </c>
      <c r="BC45" s="4">
        <v>8</v>
      </c>
      <c r="BD45" t="s">
        <v>7069</v>
      </c>
      <c r="BE45" s="4" t="s">
        <v>7179</v>
      </c>
      <c r="BF45" s="18" t="s">
        <v>7397</v>
      </c>
    </row>
    <row r="46" spans="6:69">
      <c r="BA46" s="73"/>
      <c r="BB46" s="19" t="s">
        <v>7398</v>
      </c>
      <c r="BC46" s="4">
        <v>0</v>
      </c>
      <c r="BD46" t="s">
        <v>7141</v>
      </c>
      <c r="BE46" s="4" t="s">
        <v>7165</v>
      </c>
      <c r="BF46" s="18" t="s">
        <v>7399</v>
      </c>
    </row>
    <row r="47" spans="6:69">
      <c r="BA47" s="73"/>
      <c r="BB47" s="73"/>
      <c r="BD47"/>
    </row>
    <row r="48" spans="6:69">
      <c r="BA48" s="73"/>
      <c r="BB48" s="19" t="s">
        <v>7400</v>
      </c>
      <c r="BC48" s="4">
        <v>0</v>
      </c>
      <c r="BD48" t="s">
        <v>7141</v>
      </c>
      <c r="BE48" s="4" t="s">
        <v>7071</v>
      </c>
      <c r="BF48" s="88" t="s">
        <v>7401</v>
      </c>
      <c r="BG48" s="4" t="s">
        <v>7402</v>
      </c>
      <c r="BQ48" s="4" t="s">
        <v>7403</v>
      </c>
    </row>
    <row r="49" spans="53:76">
      <c r="BA49" s="73"/>
      <c r="BB49" s="88" t="s">
        <v>7404</v>
      </c>
      <c r="BD49"/>
      <c r="BG49" s="4" t="s">
        <v>7405</v>
      </c>
    </row>
    <row r="50" spans="53:76">
      <c r="BA50" s="73"/>
      <c r="BB50" s="19" t="s">
        <v>7406</v>
      </c>
      <c r="BC50" s="4">
        <v>8</v>
      </c>
      <c r="BD50" t="s">
        <v>7069</v>
      </c>
      <c r="BE50" s="4" t="s">
        <v>7179</v>
      </c>
      <c r="BF50" s="18" t="s">
        <v>7407</v>
      </c>
      <c r="BG50" s="4" t="s">
        <v>7408</v>
      </c>
    </row>
    <row r="51" spans="53:76">
      <c r="BA51" s="73"/>
      <c r="BB51" s="19" t="s">
        <v>7409</v>
      </c>
      <c r="BC51" s="4">
        <v>8</v>
      </c>
      <c r="BD51" t="s">
        <v>7069</v>
      </c>
      <c r="BE51" s="4">
        <v>2</v>
      </c>
      <c r="BF51" s="18" t="s">
        <v>7410</v>
      </c>
      <c r="BG51" s="4" t="s">
        <v>7411</v>
      </c>
    </row>
    <row r="52" spans="53:76">
      <c r="BA52" s="73"/>
      <c r="BB52" s="19" t="s">
        <v>7412</v>
      </c>
      <c r="BC52" s="4">
        <v>8</v>
      </c>
      <c r="BD52" t="s">
        <v>7069</v>
      </c>
      <c r="BE52" s="4" t="s">
        <v>7179</v>
      </c>
      <c r="BF52" s="18" t="s">
        <v>7413</v>
      </c>
      <c r="BG52" s="4" t="s">
        <v>7414</v>
      </c>
    </row>
    <row r="53" spans="53:76">
      <c r="BA53" s="73"/>
      <c r="BB53" s="19" t="s">
        <v>7415</v>
      </c>
      <c r="BC53" s="4">
        <v>8</v>
      </c>
      <c r="BD53" t="s">
        <v>7069</v>
      </c>
      <c r="BE53" s="4" t="s">
        <v>7165</v>
      </c>
      <c r="BF53" s="18" t="s">
        <v>7416</v>
      </c>
      <c r="BG53" s="4" t="s">
        <v>7417</v>
      </c>
    </row>
    <row r="54" spans="53:76">
      <c r="BA54" s="73"/>
      <c r="BB54" s="19" t="s">
        <v>7418</v>
      </c>
      <c r="BC54" s="4">
        <v>8</v>
      </c>
      <c r="BD54" t="s">
        <v>7069</v>
      </c>
      <c r="BE54" s="4" t="s">
        <v>7165</v>
      </c>
      <c r="BF54" s="18" t="s">
        <v>7419</v>
      </c>
    </row>
    <row r="55" spans="53:76">
      <c r="BA55" s="73"/>
      <c r="BB55" s="19" t="s">
        <v>7420</v>
      </c>
      <c r="BC55" s="4">
        <v>0</v>
      </c>
      <c r="BD55" t="s">
        <v>7141</v>
      </c>
      <c r="BE55" s="4" t="s">
        <v>7165</v>
      </c>
      <c r="BF55" s="18" t="s">
        <v>7366</v>
      </c>
    </row>
    <row r="56" spans="53:76">
      <c r="BA56" s="73"/>
      <c r="BB56" s="73"/>
      <c r="BD56"/>
    </row>
    <row r="57" spans="53:76">
      <c r="BA57" s="73"/>
      <c r="BB57" s="19" t="s">
        <v>7421</v>
      </c>
      <c r="BC57" s="4">
        <v>8</v>
      </c>
      <c r="BD57" t="s">
        <v>7069</v>
      </c>
      <c r="BE57" s="4" t="s">
        <v>7071</v>
      </c>
      <c r="BF57" s="88" t="s">
        <v>7422</v>
      </c>
      <c r="BG57" s="4" t="s">
        <v>7423</v>
      </c>
      <c r="BP57" s="4" t="s">
        <v>7424</v>
      </c>
      <c r="BX57" s="4" t="s">
        <v>7425</v>
      </c>
    </row>
    <row r="58" spans="53:76">
      <c r="BA58" s="73"/>
      <c r="BB58" s="73"/>
      <c r="BD58"/>
      <c r="BG58" s="4" t="s">
        <v>7426</v>
      </c>
      <c r="BP58" s="4" t="s">
        <v>7427</v>
      </c>
      <c r="BX58" s="4" t="s">
        <v>7428</v>
      </c>
    </row>
    <row r="59" spans="53:76">
      <c r="BA59" s="73"/>
      <c r="BB59" s="19" t="s">
        <v>7429</v>
      </c>
      <c r="BC59" s="4" t="s">
        <v>7071</v>
      </c>
      <c r="BD59" t="s">
        <v>7430</v>
      </c>
      <c r="BE59" s="4" t="s">
        <v>7191</v>
      </c>
      <c r="BF59" s="88" t="s">
        <v>7431</v>
      </c>
      <c r="BP59" s="4" t="s">
        <v>7432</v>
      </c>
      <c r="BX59" s="4" t="s">
        <v>7433</v>
      </c>
    </row>
    <row r="60" spans="53:76">
      <c r="BA60" s="73"/>
      <c r="BB60" s="88" t="s">
        <v>7434</v>
      </c>
      <c r="BD60"/>
    </row>
    <row r="61" spans="53:76" ht="30">
      <c r="BA61" s="73"/>
      <c r="BB61" s="19" t="s">
        <v>7313</v>
      </c>
      <c r="BC61" s="4">
        <v>8</v>
      </c>
      <c r="BD61" t="s">
        <v>7069</v>
      </c>
      <c r="BE61" s="4" t="s">
        <v>7165</v>
      </c>
      <c r="BF61" s="18" t="s">
        <v>7435</v>
      </c>
      <c r="BG61" s="4" t="s">
        <v>7436</v>
      </c>
    </row>
    <row r="62" spans="53:76">
      <c r="BA62" s="73"/>
      <c r="BB62" s="19" t="s">
        <v>7437</v>
      </c>
      <c r="BC62" s="4">
        <v>8</v>
      </c>
      <c r="BD62" t="s">
        <v>7069</v>
      </c>
      <c r="BE62" s="4" t="s">
        <v>7165</v>
      </c>
      <c r="BF62" s="18" t="s">
        <v>7438</v>
      </c>
      <c r="BG62" s="4" t="s">
        <v>7439</v>
      </c>
    </row>
    <row r="63" spans="53:76">
      <c r="BA63" s="73"/>
      <c r="BB63" s="19" t="s">
        <v>7440</v>
      </c>
      <c r="BC63" s="4">
        <v>8</v>
      </c>
      <c r="BD63" t="s">
        <v>7069</v>
      </c>
      <c r="BE63" s="4" t="s">
        <v>7179</v>
      </c>
      <c r="BF63" s="18" t="s">
        <v>7441</v>
      </c>
      <c r="BG63" s="4" t="s">
        <v>7442</v>
      </c>
    </row>
    <row r="64" spans="53:76">
      <c r="BA64" s="73"/>
      <c r="BB64" s="19" t="s">
        <v>7443</v>
      </c>
      <c r="BC64" s="4">
        <v>8</v>
      </c>
      <c r="BD64" t="s">
        <v>7069</v>
      </c>
      <c r="BE64" s="4" t="s">
        <v>7179</v>
      </c>
      <c r="BF64" s="18" t="s">
        <v>7444</v>
      </c>
    </row>
    <row r="65" spans="53:74">
      <c r="BA65" s="73"/>
      <c r="BB65" s="19" t="s">
        <v>7445</v>
      </c>
      <c r="BC65" s="4">
        <v>8</v>
      </c>
      <c r="BD65" t="s">
        <v>7069</v>
      </c>
      <c r="BE65" s="4" t="s">
        <v>7179</v>
      </c>
      <c r="BF65" s="18" t="s">
        <v>7446</v>
      </c>
    </row>
    <row r="66" spans="53:74">
      <c r="BA66" s="73"/>
      <c r="BB66" s="19" t="s">
        <v>7447</v>
      </c>
      <c r="BC66" s="4">
        <v>0</v>
      </c>
      <c r="BD66" t="s">
        <v>7141</v>
      </c>
      <c r="BE66" s="4" t="s">
        <v>7165</v>
      </c>
      <c r="BF66" s="18" t="s">
        <v>7448</v>
      </c>
    </row>
    <row r="67" spans="53:74">
      <c r="BA67" s="73"/>
      <c r="BB67" s="73"/>
      <c r="BD67"/>
    </row>
    <row r="68" spans="53:74">
      <c r="BA68" s="73"/>
      <c r="BB68" s="19" t="s">
        <v>7449</v>
      </c>
      <c r="BC68" s="4">
        <v>0</v>
      </c>
      <c r="BD68" t="s">
        <v>7141</v>
      </c>
      <c r="BE68" s="4" t="s">
        <v>7071</v>
      </c>
      <c r="BF68" s="88" t="s">
        <v>7450</v>
      </c>
      <c r="BG68" s="4" t="s">
        <v>7451</v>
      </c>
    </row>
    <row r="69" spans="53:74">
      <c r="BA69" s="73"/>
      <c r="BB69" s="88" t="s">
        <v>7452</v>
      </c>
      <c r="BD69"/>
      <c r="BG69" s="4" t="s">
        <v>7453</v>
      </c>
    </row>
    <row r="70" spans="53:74">
      <c r="BA70" s="73"/>
      <c r="BB70" s="19" t="s">
        <v>7454</v>
      </c>
      <c r="BC70" s="4">
        <v>8</v>
      </c>
      <c r="BD70" t="s">
        <v>7069</v>
      </c>
      <c r="BE70" s="4" t="s">
        <v>7165</v>
      </c>
      <c r="BF70" s="18" t="s">
        <v>7387</v>
      </c>
      <c r="BG70" s="4" t="s">
        <v>7455</v>
      </c>
    </row>
    <row r="71" spans="53:74">
      <c r="BA71" s="73"/>
      <c r="BB71" s="19" t="s">
        <v>7456</v>
      </c>
      <c r="BC71" s="4">
        <v>8</v>
      </c>
      <c r="BD71" t="s">
        <v>7069</v>
      </c>
      <c r="BE71" s="4">
        <v>2</v>
      </c>
      <c r="BF71" s="18" t="s">
        <v>7457</v>
      </c>
      <c r="BG71" s="4" t="s">
        <v>7458</v>
      </c>
    </row>
    <row r="72" spans="53:74">
      <c r="BA72" s="73"/>
      <c r="BB72" s="19" t="s">
        <v>7459</v>
      </c>
      <c r="BC72" s="4">
        <v>8</v>
      </c>
      <c r="BD72" t="s">
        <v>7069</v>
      </c>
      <c r="BE72" s="4" t="s">
        <v>7179</v>
      </c>
      <c r="BF72" s="18" t="s">
        <v>7460</v>
      </c>
      <c r="BG72" s="4" t="s">
        <v>7461</v>
      </c>
    </row>
    <row r="73" spans="53:74">
      <c r="BA73" s="73"/>
      <c r="BB73" s="19" t="s">
        <v>7462</v>
      </c>
      <c r="BC73" s="4">
        <v>8</v>
      </c>
      <c r="BD73" t="s">
        <v>7069</v>
      </c>
      <c r="BE73" s="4" t="s">
        <v>7165</v>
      </c>
      <c r="BF73" s="18" t="s">
        <v>7463</v>
      </c>
    </row>
    <row r="74" spans="53:74">
      <c r="BA74" s="73"/>
      <c r="BB74" s="19" t="s">
        <v>7464</v>
      </c>
      <c r="BC74" s="4">
        <v>8</v>
      </c>
      <c r="BD74" t="s">
        <v>7069</v>
      </c>
      <c r="BE74" s="4" t="s">
        <v>7179</v>
      </c>
      <c r="BF74" s="18" t="s">
        <v>7465</v>
      </c>
    </row>
    <row r="75" spans="53:74">
      <c r="BA75" s="73"/>
      <c r="BB75" s="19" t="s">
        <v>7466</v>
      </c>
      <c r="BC75" s="4">
        <v>0</v>
      </c>
      <c r="BD75" t="s">
        <v>7141</v>
      </c>
      <c r="BE75" s="4" t="s">
        <v>7165</v>
      </c>
      <c r="BF75" s="18" t="s">
        <v>7366</v>
      </c>
    </row>
    <row r="76" spans="53:74">
      <c r="BA76" s="73"/>
      <c r="BB76" s="73"/>
      <c r="BD76"/>
    </row>
    <row r="77" spans="53:74">
      <c r="BA77" s="73"/>
      <c r="BB77" s="19" t="s">
        <v>7467</v>
      </c>
      <c r="BC77" s="4">
        <v>8</v>
      </c>
      <c r="BD77" t="s">
        <v>7069</v>
      </c>
      <c r="BE77" s="4" t="s">
        <v>7071</v>
      </c>
      <c r="BF77" s="88" t="s">
        <v>7468</v>
      </c>
      <c r="BG77" s="4" t="s">
        <v>7469</v>
      </c>
      <c r="BP77" s="4" t="s">
        <v>7470</v>
      </c>
      <c r="BV77" s="4" t="s">
        <v>7471</v>
      </c>
    </row>
    <row r="78" spans="53:74">
      <c r="BA78" s="73"/>
      <c r="BB78" s="19" t="s">
        <v>7472</v>
      </c>
      <c r="BC78" s="4" t="s">
        <v>7071</v>
      </c>
      <c r="BD78" t="s">
        <v>7473</v>
      </c>
      <c r="BE78" s="4" t="s">
        <v>7191</v>
      </c>
      <c r="BF78" s="88" t="s">
        <v>7468</v>
      </c>
      <c r="BG78" s="4" t="s">
        <v>7474</v>
      </c>
      <c r="BP78" s="4" t="s">
        <v>7427</v>
      </c>
      <c r="BV78" s="4" t="s">
        <v>7475</v>
      </c>
    </row>
    <row r="79" spans="53:74">
      <c r="BA79" s="73"/>
      <c r="BB79" s="73"/>
      <c r="BD79"/>
      <c r="BG79" s="4" t="s">
        <v>7417</v>
      </c>
      <c r="BP79" s="4" t="s">
        <v>7476</v>
      </c>
      <c r="BV79" s="4" t="s">
        <v>7477</v>
      </c>
    </row>
    <row r="80" spans="53:74">
      <c r="BA80" s="73"/>
      <c r="BB80" s="19" t="s">
        <v>7478</v>
      </c>
      <c r="BC80" s="4" t="s">
        <v>7205</v>
      </c>
      <c r="BD80" t="s">
        <v>7479</v>
      </c>
      <c r="BE80" s="4" t="s">
        <v>7165</v>
      </c>
      <c r="BF80" s="18" t="s">
        <v>7480</v>
      </c>
      <c r="BG80" s="4" t="s">
        <v>7481</v>
      </c>
    </row>
    <row r="81" spans="56:68">
      <c r="BD81"/>
      <c r="BG81" s="4" t="s">
        <v>7482</v>
      </c>
    </row>
    <row r="82" spans="56:68">
      <c r="BD82"/>
      <c r="BG82" s="4" t="s">
        <v>7483</v>
      </c>
    </row>
    <row r="83" spans="56:68" ht="300">
      <c r="BD83"/>
      <c r="BP83" s="89" t="s">
        <v>7484</v>
      </c>
    </row>
    <row r="84" spans="56:68">
      <c r="BD84"/>
    </row>
    <row r="85" spans="56:68">
      <c r="BD85"/>
    </row>
    <row r="86" spans="56:68">
      <c r="BD86"/>
    </row>
    <row r="87" spans="56:68">
      <c r="BD87"/>
    </row>
    <row r="88" spans="56:68">
      <c r="BD88"/>
    </row>
    <row r="89" spans="56:68">
      <c r="BD89"/>
    </row>
    <row r="90" spans="56:68">
      <c r="BD90"/>
    </row>
    <row r="91" spans="56:68">
      <c r="BD91"/>
    </row>
    <row r="92" spans="56:68">
      <c r="BD92"/>
    </row>
    <row r="93" spans="56:68">
      <c r="BD93"/>
    </row>
    <row r="94" spans="56:68">
      <c r="BD94"/>
    </row>
    <row r="95" spans="56:68">
      <c r="BD95"/>
    </row>
    <row r="96" spans="56:68">
      <c r="BD96"/>
    </row>
    <row r="97" spans="56:56">
      <c r="BD97"/>
    </row>
    <row r="98" spans="56:56">
      <c r="BD98"/>
    </row>
    <row r="99" spans="56:56">
      <c r="BD99"/>
    </row>
    <row r="100" spans="56:56">
      <c r="BD100"/>
    </row>
    <row r="101" spans="56:56">
      <c r="BD101"/>
    </row>
    <row r="102" spans="56:56">
      <c r="BD102"/>
    </row>
    <row r="103" spans="56:56">
      <c r="BD103"/>
    </row>
    <row r="104" spans="56:56">
      <c r="BD104"/>
    </row>
    <row r="105" spans="56:56">
      <c r="BD105"/>
    </row>
    <row r="106" spans="56:56">
      <c r="BD106"/>
    </row>
    <row r="107" spans="56:56">
      <c r="BD107"/>
    </row>
    <row r="108" spans="56:56">
      <c r="BD108"/>
    </row>
    <row r="109" spans="56:56">
      <c r="BD109"/>
    </row>
    <row r="110" spans="56:56">
      <c r="BD110"/>
    </row>
    <row r="111" spans="56:56">
      <c r="BD111"/>
    </row>
    <row r="112" spans="56:56">
      <c r="BD112"/>
    </row>
    <row r="113" spans="56:56">
      <c r="BD113"/>
    </row>
    <row r="114" spans="56:56">
      <c r="BD114"/>
    </row>
    <row r="115" spans="56:56">
      <c r="BD115"/>
    </row>
    <row r="116" spans="56:56">
      <c r="BD116"/>
    </row>
    <row r="117" spans="56:56">
      <c r="BD117"/>
    </row>
    <row r="118" spans="56:56">
      <c r="BD118"/>
    </row>
    <row r="119" spans="56:56">
      <c r="BD119"/>
    </row>
    <row r="120" spans="56:56">
      <c r="BD120"/>
    </row>
  </sheetData>
  <pageMargins left="0" right="0" top="0.39374999999999999" bottom="0.39374999999999999" header="0" footer="0"/>
  <pageSetup paperSize="9" orientation="portrait" horizontalDpi="300" verticalDpi="300"/>
  <headerFooter>
    <oddHeader>&amp;C&amp;"Arial,Regular"&amp;A</oddHeader>
    <oddFooter>&amp;C&amp;"Arial,Regular"Page &amp;P</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M137"/>
  <sheetViews>
    <sheetView topLeftCell="B1" zoomScaleNormal="100" workbookViewId="0">
      <selection activeCell="E75" sqref="E75"/>
    </sheetView>
  </sheetViews>
  <sheetFormatPr defaultColWidth="11.5703125" defaultRowHeight="15"/>
  <cols>
    <col min="1" max="1" width="65.28515625" customWidth="1"/>
    <col min="3" max="3" width="17" style="4" customWidth="1"/>
    <col min="4" max="7" width="11.5703125" style="4"/>
  </cols>
  <sheetData>
    <row r="1" spans="1:13" ht="14.85" customHeight="1">
      <c r="A1" s="18" t="s">
        <v>7485</v>
      </c>
      <c r="C1" s="4" t="s">
        <v>7486</v>
      </c>
    </row>
    <row r="2" spans="1:13" ht="14.85" customHeight="1">
      <c r="A2" s="18" t="s">
        <v>7487</v>
      </c>
      <c r="C2" s="4" t="s">
        <v>7488</v>
      </c>
    </row>
    <row r="3" spans="1:13" ht="14.85" customHeight="1">
      <c r="A3" s="18" t="s">
        <v>7489</v>
      </c>
      <c r="C3" s="4" t="s">
        <v>7490</v>
      </c>
      <c r="H3" t="s">
        <v>7491</v>
      </c>
      <c r="J3" t="s">
        <v>7492</v>
      </c>
    </row>
    <row r="4" spans="1:13" ht="14.85" customHeight="1">
      <c r="A4" s="18" t="s">
        <v>7493</v>
      </c>
    </row>
    <row r="5" spans="1:13" ht="14.85" customHeight="1">
      <c r="A5" s="18" t="s">
        <v>7494</v>
      </c>
    </row>
    <row r="6" spans="1:13" ht="14.85" customHeight="1">
      <c r="A6" s="18" t="s">
        <v>7495</v>
      </c>
      <c r="C6" s="4" t="s">
        <v>7496</v>
      </c>
      <c r="D6" s="4" t="s">
        <v>7497</v>
      </c>
      <c r="E6" s="4" t="s">
        <v>7498</v>
      </c>
      <c r="H6">
        <v>0</v>
      </c>
      <c r="I6">
        <v>0</v>
      </c>
      <c r="J6">
        <v>0</v>
      </c>
      <c r="K6">
        <v>0</v>
      </c>
      <c r="L6">
        <v>0</v>
      </c>
      <c r="M6">
        <v>0</v>
      </c>
    </row>
    <row r="7" spans="1:13" ht="14.85" customHeight="1">
      <c r="A7" s="18" t="s">
        <v>7499</v>
      </c>
      <c r="C7" s="4" t="s">
        <v>7500</v>
      </c>
      <c r="D7" s="4" t="s">
        <v>7501</v>
      </c>
      <c r="E7" s="4" t="s">
        <v>7502</v>
      </c>
    </row>
    <row r="8" spans="1:13" ht="14.85" customHeight="1">
      <c r="A8" s="18" t="s">
        <v>7503</v>
      </c>
      <c r="C8" s="4" t="s">
        <v>7504</v>
      </c>
      <c r="D8" s="4" t="s">
        <v>7505</v>
      </c>
      <c r="E8" s="4" t="s">
        <v>7506</v>
      </c>
      <c r="J8" t="s">
        <v>7507</v>
      </c>
      <c r="M8" t="s">
        <v>7508</v>
      </c>
    </row>
    <row r="9" spans="1:13" ht="14.85" customHeight="1">
      <c r="A9" s="18" t="s">
        <v>7509</v>
      </c>
      <c r="C9" s="4" t="s">
        <v>7510</v>
      </c>
      <c r="D9" s="4" t="s">
        <v>7511</v>
      </c>
      <c r="E9" s="4" t="s">
        <v>7512</v>
      </c>
    </row>
    <row r="10" spans="1:13" ht="14.85" customHeight="1">
      <c r="A10" s="18" t="s">
        <v>7513</v>
      </c>
      <c r="C10" s="4" t="s">
        <v>7514</v>
      </c>
      <c r="D10" s="4" t="s">
        <v>7515</v>
      </c>
      <c r="E10" s="4" t="s">
        <v>7512</v>
      </c>
    </row>
    <row r="11" spans="1:13" ht="14.85" customHeight="1">
      <c r="A11" s="18" t="s">
        <v>7516</v>
      </c>
      <c r="C11" s="4" t="s">
        <v>7517</v>
      </c>
      <c r="D11" s="4" t="s">
        <v>7518</v>
      </c>
      <c r="E11" s="4" t="s">
        <v>7512</v>
      </c>
    </row>
    <row r="12" spans="1:13" ht="14.85" customHeight="1">
      <c r="A12" s="18" t="s">
        <v>7519</v>
      </c>
      <c r="C12" s="4" t="s">
        <v>7520</v>
      </c>
      <c r="D12" s="4" t="s">
        <v>7521</v>
      </c>
      <c r="E12" s="4" t="s">
        <v>7522</v>
      </c>
    </row>
    <row r="13" spans="1:13" ht="14.85" customHeight="1">
      <c r="A13" s="18" t="s">
        <v>7523</v>
      </c>
      <c r="C13" s="4" t="s">
        <v>7524</v>
      </c>
      <c r="D13" s="4" t="s">
        <v>7525</v>
      </c>
      <c r="E13" s="4" t="s">
        <v>7526</v>
      </c>
    </row>
    <row r="14" spans="1:13" ht="14.85" customHeight="1">
      <c r="A14" s="18" t="s">
        <v>7527</v>
      </c>
    </row>
    <row r="15" spans="1:13" ht="14.85" customHeight="1">
      <c r="A15" s="18" t="s">
        <v>7528</v>
      </c>
    </row>
    <row r="16" spans="1:13" ht="14.85" customHeight="1">
      <c r="A16" s="18" t="s">
        <v>7529</v>
      </c>
    </row>
    <row r="17" spans="1:6" ht="14.85" customHeight="1">
      <c r="C17" s="4" t="s">
        <v>7530</v>
      </c>
      <c r="F17" s="4" t="s">
        <v>7531</v>
      </c>
    </row>
    <row r="18" spans="1:6" ht="14.85" customHeight="1">
      <c r="A18" s="18" t="s">
        <v>7532</v>
      </c>
    </row>
    <row r="19" spans="1:6" ht="14.85" customHeight="1">
      <c r="A19" s="18" t="s">
        <v>7533</v>
      </c>
    </row>
    <row r="20" spans="1:6" ht="14.85" customHeight="1">
      <c r="A20" s="18"/>
      <c r="C20" s="4" t="s">
        <v>7534</v>
      </c>
      <c r="D20" s="4" t="s">
        <v>521</v>
      </c>
      <c r="E20" s="4" t="s">
        <v>7535</v>
      </c>
    </row>
    <row r="21" spans="1:6" ht="14.85" customHeight="1">
      <c r="A21" s="18"/>
      <c r="C21" s="4" t="s">
        <v>7536</v>
      </c>
      <c r="D21" s="4" t="s">
        <v>525</v>
      </c>
      <c r="E21" s="4" t="s">
        <v>7537</v>
      </c>
    </row>
    <row r="22" spans="1:6" ht="14.85" customHeight="1">
      <c r="A22" s="18"/>
      <c r="C22" s="4" t="s">
        <v>7538</v>
      </c>
      <c r="D22" s="4" t="s">
        <v>529</v>
      </c>
      <c r="E22" s="4" t="s">
        <v>7539</v>
      </c>
    </row>
    <row r="23" spans="1:6" ht="14.85" customHeight="1">
      <c r="A23" s="18"/>
      <c r="C23" s="4" t="s">
        <v>7540</v>
      </c>
      <c r="D23" s="4" t="s">
        <v>532</v>
      </c>
      <c r="E23" s="4" t="s">
        <v>7541</v>
      </c>
    </row>
    <row r="24" spans="1:6" ht="14.85" customHeight="1">
      <c r="A24" s="18" t="s">
        <v>7542</v>
      </c>
      <c r="C24" s="4" t="s">
        <v>7543</v>
      </c>
      <c r="D24" s="4" t="s">
        <v>536</v>
      </c>
      <c r="E24" s="4" t="s">
        <v>7544</v>
      </c>
    </row>
    <row r="25" spans="1:6" ht="14.85" customHeight="1">
      <c r="A25" s="18"/>
      <c r="C25" s="4" t="s">
        <v>7545</v>
      </c>
      <c r="D25" s="4" t="s">
        <v>540</v>
      </c>
    </row>
    <row r="26" spans="1:6" ht="14.85" customHeight="1">
      <c r="A26" s="18"/>
      <c r="C26" s="4" t="s">
        <v>7546</v>
      </c>
      <c r="D26" s="4" t="s">
        <v>544</v>
      </c>
      <c r="E26" s="4" t="s">
        <v>7547</v>
      </c>
    </row>
    <row r="27" spans="1:6" ht="14.85" customHeight="1">
      <c r="A27" s="18"/>
      <c r="C27" s="4" t="s">
        <v>7548</v>
      </c>
      <c r="D27" s="4" t="s">
        <v>548</v>
      </c>
      <c r="E27" s="4" t="s">
        <v>7549</v>
      </c>
    </row>
    <row r="28" spans="1:6" ht="14.85" customHeight="1">
      <c r="A28" s="18"/>
      <c r="C28" s="4" t="s">
        <v>7550</v>
      </c>
      <c r="D28" s="4" t="s">
        <v>551</v>
      </c>
      <c r="E28" s="4" t="s">
        <v>7551</v>
      </c>
    </row>
    <row r="29" spans="1:6" ht="14.85" customHeight="1">
      <c r="A29" s="18"/>
      <c r="C29" s="4" t="s">
        <v>7552</v>
      </c>
      <c r="D29" s="4" t="s">
        <v>554</v>
      </c>
      <c r="E29" s="4" t="s">
        <v>7553</v>
      </c>
    </row>
    <row r="30" spans="1:6" ht="14.85" customHeight="1">
      <c r="A30" s="18"/>
      <c r="C30" s="4" t="s">
        <v>7554</v>
      </c>
      <c r="D30" s="4" t="s">
        <v>557</v>
      </c>
      <c r="E30" s="4" t="s">
        <v>7555</v>
      </c>
    </row>
    <row r="31" spans="1:6" ht="14.85" customHeight="1">
      <c r="A31" s="18"/>
      <c r="C31" s="4" t="s">
        <v>7556</v>
      </c>
      <c r="D31" s="4" t="s">
        <v>560</v>
      </c>
    </row>
    <row r="32" spans="1:6" ht="14.85" customHeight="1">
      <c r="A32" s="18"/>
      <c r="C32" s="4" t="s">
        <v>7557</v>
      </c>
      <c r="D32" s="4" t="s">
        <v>563</v>
      </c>
      <c r="E32" s="4" t="s">
        <v>7558</v>
      </c>
    </row>
    <row r="33" spans="1:7" ht="14.85" customHeight="1">
      <c r="A33" s="18"/>
      <c r="C33" s="4" t="s">
        <v>7559</v>
      </c>
      <c r="D33" s="4" t="s">
        <v>1183</v>
      </c>
    </row>
    <row r="34" spans="1:7" ht="14.85" customHeight="1">
      <c r="A34" s="18"/>
      <c r="C34" s="4" t="s">
        <v>7560</v>
      </c>
      <c r="D34" s="4" t="s">
        <v>569</v>
      </c>
    </row>
    <row r="35" spans="1:7" ht="14.85" customHeight="1">
      <c r="A35" s="18"/>
      <c r="C35" s="4" t="s">
        <v>7561</v>
      </c>
      <c r="D35" s="4" t="s">
        <v>572</v>
      </c>
    </row>
    <row r="36" spans="1:7" ht="14.85" customHeight="1">
      <c r="A36" s="18"/>
      <c r="C36" s="4" t="s">
        <v>7562</v>
      </c>
      <c r="D36" s="4" t="s">
        <v>575</v>
      </c>
      <c r="E36" s="4" t="s">
        <v>7563</v>
      </c>
    </row>
    <row r="37" spans="1:7" ht="14.85" customHeight="1">
      <c r="A37" s="18"/>
      <c r="C37" s="4" t="s">
        <v>7564</v>
      </c>
      <c r="D37" s="4" t="s">
        <v>578</v>
      </c>
      <c r="E37" s="4" t="s">
        <v>7563</v>
      </c>
    </row>
    <row r="38" spans="1:7" ht="14.85" customHeight="1">
      <c r="A38" s="18"/>
      <c r="C38" s="4" t="s">
        <v>7565</v>
      </c>
      <c r="D38" s="4" t="s">
        <v>581</v>
      </c>
    </row>
    <row r="39" spans="1:7" ht="14.85" customHeight="1">
      <c r="A39" s="18"/>
      <c r="C39" s="4" t="s">
        <v>7566</v>
      </c>
      <c r="D39" s="4" t="s">
        <v>584</v>
      </c>
    </row>
    <row r="40" spans="1:7" ht="14.85" customHeight="1">
      <c r="A40" s="18" t="s">
        <v>7567</v>
      </c>
      <c r="C40" s="4" t="s">
        <v>7568</v>
      </c>
      <c r="D40" s="4" t="s">
        <v>587</v>
      </c>
      <c r="E40" s="4" t="s">
        <v>7569</v>
      </c>
      <c r="G40" s="4" t="s">
        <v>7570</v>
      </c>
    </row>
    <row r="41" spans="1:7" ht="14.85" customHeight="1">
      <c r="A41" s="18" t="s">
        <v>7571</v>
      </c>
      <c r="C41" t="s">
        <v>7572</v>
      </c>
      <c r="D41" s="4" t="s">
        <v>591</v>
      </c>
      <c r="E41" s="4" t="s">
        <v>7573</v>
      </c>
    </row>
    <row r="42" spans="1:7" ht="14.85" customHeight="1">
      <c r="A42" s="18" t="s">
        <v>7574</v>
      </c>
      <c r="C42" t="s">
        <v>7575</v>
      </c>
      <c r="D42" s="4" t="s">
        <v>595</v>
      </c>
      <c r="E42" s="4" t="s">
        <v>7576</v>
      </c>
    </row>
    <row r="43" spans="1:7" ht="14.85" customHeight="1">
      <c r="A43" s="18" t="s">
        <v>7577</v>
      </c>
      <c r="C43" t="s">
        <v>7578</v>
      </c>
      <c r="D43" s="4" t="s">
        <v>598</v>
      </c>
      <c r="E43" t="s">
        <v>7579</v>
      </c>
    </row>
    <row r="44" spans="1:7" ht="14.85" customHeight="1">
      <c r="A44" s="18" t="s">
        <v>7580</v>
      </c>
      <c r="C44" t="s">
        <v>7581</v>
      </c>
      <c r="D44" s="4" t="s">
        <v>601</v>
      </c>
      <c r="E44" s="4" t="s">
        <v>7582</v>
      </c>
    </row>
    <row r="45" spans="1:7" ht="14.85" customHeight="1">
      <c r="A45" s="18" t="s">
        <v>7583</v>
      </c>
      <c r="C45" t="s">
        <v>7584</v>
      </c>
      <c r="D45" s="4" t="s">
        <v>605</v>
      </c>
      <c r="E45" s="4" t="s">
        <v>7585</v>
      </c>
    </row>
    <row r="46" spans="1:7" ht="14.85" customHeight="1">
      <c r="A46" s="18" t="s">
        <v>7586</v>
      </c>
      <c r="C46" t="s">
        <v>7587</v>
      </c>
      <c r="D46" s="4" t="s">
        <v>609</v>
      </c>
      <c r="E46" s="4" t="s">
        <v>7588</v>
      </c>
    </row>
    <row r="47" spans="1:7" ht="14.85" customHeight="1">
      <c r="A47" s="18" t="s">
        <v>7589</v>
      </c>
      <c r="C47" t="s">
        <v>7590</v>
      </c>
      <c r="D47" s="4" t="s">
        <v>612</v>
      </c>
      <c r="E47" s="4" t="s">
        <v>7591</v>
      </c>
    </row>
    <row r="48" spans="1:7" ht="14.85" customHeight="1">
      <c r="A48" s="18" t="s">
        <v>7592</v>
      </c>
      <c r="C48" t="s">
        <v>7593</v>
      </c>
      <c r="D48" s="4" t="s">
        <v>615</v>
      </c>
      <c r="E48" s="4" t="s">
        <v>7594</v>
      </c>
    </row>
    <row r="49" spans="1:5" ht="14.85" customHeight="1">
      <c r="A49" s="18" t="s">
        <v>7595</v>
      </c>
      <c r="C49" t="s">
        <v>7596</v>
      </c>
      <c r="D49" s="4" t="s">
        <v>7597</v>
      </c>
      <c r="E49" s="4" t="s">
        <v>7598</v>
      </c>
    </row>
    <row r="50" spans="1:5" ht="14.85" customHeight="1">
      <c r="A50" s="18" t="s">
        <v>7599</v>
      </c>
      <c r="C50" t="s">
        <v>7600</v>
      </c>
      <c r="D50" s="4" t="s">
        <v>619</v>
      </c>
      <c r="E50" s="4" t="s">
        <v>7601</v>
      </c>
    </row>
    <row r="51" spans="1:5" ht="14.85" customHeight="1">
      <c r="A51" s="18" t="s">
        <v>7602</v>
      </c>
      <c r="C51" t="s">
        <v>7603</v>
      </c>
      <c r="D51" s="4" t="s">
        <v>623</v>
      </c>
      <c r="E51" s="4" t="s">
        <v>7604</v>
      </c>
    </row>
    <row r="52" spans="1:5" ht="14.85" customHeight="1">
      <c r="A52" s="18" t="s">
        <v>7605</v>
      </c>
      <c r="C52" t="s">
        <v>7606</v>
      </c>
      <c r="D52" s="4" t="s">
        <v>626</v>
      </c>
      <c r="E52" s="4" t="s">
        <v>7607</v>
      </c>
    </row>
    <row r="53" spans="1:5" ht="14.85" customHeight="1">
      <c r="C53" t="s">
        <v>7608</v>
      </c>
      <c r="D53" s="4" t="s">
        <v>7609</v>
      </c>
      <c r="E53" s="4" t="s">
        <v>7610</v>
      </c>
    </row>
    <row r="54" spans="1:5" ht="14.85" customHeight="1">
      <c r="A54" s="18" t="s">
        <v>7611</v>
      </c>
      <c r="C54" t="s">
        <v>7612</v>
      </c>
      <c r="D54" s="4" t="s">
        <v>630</v>
      </c>
      <c r="E54" s="4" t="s">
        <v>7613</v>
      </c>
    </row>
    <row r="55" spans="1:5" ht="14.85" customHeight="1">
      <c r="A55" s="18" t="s">
        <v>7614</v>
      </c>
      <c r="C55" t="s">
        <v>7615</v>
      </c>
      <c r="D55" s="4" t="s">
        <v>634</v>
      </c>
      <c r="E55" s="4" t="s">
        <v>7616</v>
      </c>
    </row>
    <row r="56" spans="1:5" ht="14.85" customHeight="1">
      <c r="A56" s="18" t="s">
        <v>7617</v>
      </c>
      <c r="C56" t="s">
        <v>7618</v>
      </c>
      <c r="D56" s="4" t="s">
        <v>638</v>
      </c>
      <c r="E56" s="4" t="s">
        <v>7619</v>
      </c>
    </row>
    <row r="57" spans="1:5" ht="14.85" customHeight="1">
      <c r="A57" s="18" t="s">
        <v>7620</v>
      </c>
      <c r="C57" t="s">
        <v>7621</v>
      </c>
      <c r="D57" s="4" t="s">
        <v>641</v>
      </c>
      <c r="E57" s="4" t="s">
        <v>7622</v>
      </c>
    </row>
    <row r="58" spans="1:5" ht="14.85" customHeight="1">
      <c r="A58" s="18" t="s">
        <v>7623</v>
      </c>
      <c r="C58" t="s">
        <v>7624</v>
      </c>
      <c r="D58" s="4" t="s">
        <v>645</v>
      </c>
      <c r="E58" s="4" t="s">
        <v>7625</v>
      </c>
    </row>
    <row r="59" spans="1:5" ht="14.85" customHeight="1">
      <c r="A59" s="18" t="s">
        <v>7626</v>
      </c>
      <c r="C59" t="s">
        <v>7627</v>
      </c>
      <c r="D59" s="4" t="s">
        <v>649</v>
      </c>
      <c r="E59" s="4" t="s">
        <v>7628</v>
      </c>
    </row>
    <row r="60" spans="1:5" ht="14.85" customHeight="1">
      <c r="A60" s="18" t="s">
        <v>7629</v>
      </c>
      <c r="C60" t="s">
        <v>7630</v>
      </c>
      <c r="D60" s="4" t="s">
        <v>653</v>
      </c>
      <c r="E60" s="4" t="s">
        <v>7631</v>
      </c>
    </row>
    <row r="61" spans="1:5" ht="14.85" customHeight="1">
      <c r="A61" s="18" t="s">
        <v>7632</v>
      </c>
      <c r="C61" t="s">
        <v>7633</v>
      </c>
      <c r="D61" s="4" t="s">
        <v>7634</v>
      </c>
      <c r="E61" s="4" t="s">
        <v>7635</v>
      </c>
    </row>
    <row r="62" spans="1:5" ht="14.85" customHeight="1">
      <c r="A62" s="18" t="s">
        <v>7636</v>
      </c>
      <c r="C62" t="s">
        <v>7637</v>
      </c>
      <c r="D62" s="4" t="s">
        <v>656</v>
      </c>
      <c r="E62" s="4" t="s">
        <v>7638</v>
      </c>
    </row>
    <row r="63" spans="1:5" ht="14.85" customHeight="1">
      <c r="A63" s="18" t="s">
        <v>7639</v>
      </c>
      <c r="C63" t="s">
        <v>7640</v>
      </c>
      <c r="D63" s="4" t="s">
        <v>7641</v>
      </c>
      <c r="E63" s="4" t="s">
        <v>7642</v>
      </c>
    </row>
    <row r="64" spans="1:5" ht="14.85" customHeight="1">
      <c r="A64" s="18" t="s">
        <v>7643</v>
      </c>
      <c r="C64" t="s">
        <v>7644</v>
      </c>
      <c r="D64" s="4" t="s">
        <v>659</v>
      </c>
      <c r="E64" s="4" t="s">
        <v>7645</v>
      </c>
    </row>
    <row r="65" spans="1:5" ht="14.85" customHeight="1">
      <c r="A65" s="18" t="s">
        <v>7646</v>
      </c>
      <c r="C65" t="s">
        <v>7647</v>
      </c>
      <c r="D65" s="4" t="s">
        <v>7648</v>
      </c>
      <c r="E65" s="4" t="s">
        <v>7649</v>
      </c>
    </row>
    <row r="66" spans="1:5" ht="14.85" customHeight="1">
      <c r="A66" s="18" t="s">
        <v>7650</v>
      </c>
      <c r="C66" t="s">
        <v>7651</v>
      </c>
      <c r="D66" s="4" t="s">
        <v>662</v>
      </c>
      <c r="E66" s="4" t="s">
        <v>7652</v>
      </c>
    </row>
    <row r="67" spans="1:5" ht="14.85" customHeight="1">
      <c r="A67" s="18" t="s">
        <v>7653</v>
      </c>
      <c r="C67" t="s">
        <v>7654</v>
      </c>
      <c r="D67" s="4" t="s">
        <v>7655</v>
      </c>
      <c r="E67" s="4" t="s">
        <v>7656</v>
      </c>
    </row>
    <row r="68" spans="1:5" ht="14.85" customHeight="1">
      <c r="A68" s="18" t="s">
        <v>7657</v>
      </c>
      <c r="C68" t="s">
        <v>7658</v>
      </c>
      <c r="D68" s="4" t="s">
        <v>665</v>
      </c>
    </row>
    <row r="69" spans="1:5" ht="14.85" customHeight="1">
      <c r="A69" s="18" t="s">
        <v>7659</v>
      </c>
      <c r="C69" t="s">
        <v>7660</v>
      </c>
      <c r="D69" s="4" t="s">
        <v>7661</v>
      </c>
    </row>
    <row r="70" spans="1:5" ht="14.85" customHeight="1">
      <c r="C70" t="s">
        <v>7662</v>
      </c>
      <c r="D70" s="4" t="s">
        <v>2900</v>
      </c>
    </row>
    <row r="71" spans="1:5" ht="14.85" customHeight="1">
      <c r="A71" s="18" t="s">
        <v>7663</v>
      </c>
      <c r="C71" t="s">
        <v>7664</v>
      </c>
      <c r="D71" s="4" t="s">
        <v>7665</v>
      </c>
    </row>
    <row r="72" spans="1:5" ht="14.85" customHeight="1">
      <c r="A72" s="18" t="s">
        <v>7666</v>
      </c>
    </row>
    <row r="73" spans="1:5" ht="14.85" customHeight="1">
      <c r="A73" s="18" t="s">
        <v>7667</v>
      </c>
    </row>
    <row r="74" spans="1:5" ht="14.85" customHeight="1">
      <c r="A74" s="18" t="s">
        <v>7668</v>
      </c>
      <c r="C74" s="4" t="s">
        <v>7669</v>
      </c>
      <c r="E74" s="4" t="s">
        <v>7670</v>
      </c>
    </row>
    <row r="75" spans="1:5" ht="14.85" customHeight="1">
      <c r="A75" s="18" t="s">
        <v>7671</v>
      </c>
    </row>
    <row r="76" spans="1:5" ht="14.85" customHeight="1">
      <c r="A76" s="18" t="s">
        <v>7672</v>
      </c>
    </row>
    <row r="77" spans="1:5" ht="14.85" customHeight="1">
      <c r="A77" s="18" t="s">
        <v>7673</v>
      </c>
    </row>
    <row r="78" spans="1:5" ht="14.85" customHeight="1">
      <c r="A78" s="18" t="s">
        <v>7674</v>
      </c>
    </row>
    <row r="79" spans="1:5" ht="14.85" customHeight="1">
      <c r="A79" s="18" t="s">
        <v>7675</v>
      </c>
    </row>
    <row r="80" spans="1:5" ht="14.85" customHeight="1">
      <c r="A80" s="18" t="s">
        <v>7676</v>
      </c>
    </row>
    <row r="81" spans="1:1" ht="14.85" customHeight="1">
      <c r="A81" s="18" t="s">
        <v>7677</v>
      </c>
    </row>
    <row r="82" spans="1:1" ht="14.85" customHeight="1">
      <c r="A82" s="18" t="s">
        <v>7678</v>
      </c>
    </row>
    <row r="83" spans="1:1" ht="14.85" customHeight="1">
      <c r="A83" s="18" t="s">
        <v>7679</v>
      </c>
    </row>
    <row r="84" spans="1:1" ht="14.85" customHeight="1">
      <c r="A84" s="18" t="s">
        <v>7680</v>
      </c>
    </row>
    <row r="85" spans="1:1" ht="14.85" customHeight="1">
      <c r="A85" s="18" t="s">
        <v>7681</v>
      </c>
    </row>
    <row r="86" spans="1:1" ht="14.85" customHeight="1">
      <c r="A86" s="18" t="s">
        <v>7682</v>
      </c>
    </row>
    <row r="87" spans="1:1" ht="14.85" customHeight="1"/>
    <row r="88" spans="1:1" ht="14.85" customHeight="1">
      <c r="A88" s="18" t="s">
        <v>7683</v>
      </c>
    </row>
    <row r="89" spans="1:1" ht="14.85" customHeight="1">
      <c r="A89" s="18" t="s">
        <v>7684</v>
      </c>
    </row>
    <row r="90" spans="1:1" ht="14.85" customHeight="1">
      <c r="A90" s="18" t="s">
        <v>7685</v>
      </c>
    </row>
    <row r="91" spans="1:1" ht="14.85" customHeight="1">
      <c r="A91" s="18" t="s">
        <v>7686</v>
      </c>
    </row>
    <row r="92" spans="1:1" ht="14.85" customHeight="1">
      <c r="A92" s="18" t="s">
        <v>7687</v>
      </c>
    </row>
    <row r="93" spans="1:1" ht="14.85" customHeight="1">
      <c r="A93" s="18" t="s">
        <v>7688</v>
      </c>
    </row>
    <row r="94" spans="1:1" ht="14.85" customHeight="1">
      <c r="A94" s="18" t="s">
        <v>7689</v>
      </c>
    </row>
    <row r="95" spans="1:1" ht="14.85" customHeight="1">
      <c r="A95" s="18" t="s">
        <v>7690</v>
      </c>
    </row>
    <row r="96" spans="1:1" ht="14.85" customHeight="1">
      <c r="A96" s="18" t="s">
        <v>7691</v>
      </c>
    </row>
    <row r="97" spans="1:1" ht="14.85" customHeight="1">
      <c r="A97" s="18" t="s">
        <v>7692</v>
      </c>
    </row>
    <row r="98" spans="1:1" ht="14.85" customHeight="1">
      <c r="A98" s="18" t="s">
        <v>7693</v>
      </c>
    </row>
    <row r="99" spans="1:1" ht="14.85" customHeight="1">
      <c r="A99" s="18" t="s">
        <v>7694</v>
      </c>
    </row>
    <row r="100" spans="1:1" ht="14.85" customHeight="1">
      <c r="A100" s="18" t="s">
        <v>7695</v>
      </c>
    </row>
    <row r="101" spans="1:1" ht="14.85" customHeight="1">
      <c r="A101" s="18" t="s">
        <v>7696</v>
      </c>
    </row>
    <row r="102" spans="1:1" ht="14.85" customHeight="1">
      <c r="A102" s="18" t="s">
        <v>7697</v>
      </c>
    </row>
    <row r="103" spans="1:1" ht="14.85" customHeight="1">
      <c r="A103" s="18" t="s">
        <v>7698</v>
      </c>
    </row>
    <row r="104" spans="1:1" ht="14.85" customHeight="1"/>
    <row r="105" spans="1:1" ht="14.85" customHeight="1">
      <c r="A105" s="18" t="s">
        <v>7699</v>
      </c>
    </row>
    <row r="106" spans="1:1" ht="14.85" customHeight="1">
      <c r="A106" s="18" t="s">
        <v>7700</v>
      </c>
    </row>
    <row r="107" spans="1:1" ht="14.85" customHeight="1">
      <c r="A107" s="18" t="s">
        <v>7701</v>
      </c>
    </row>
    <row r="108" spans="1:1" ht="14.85" customHeight="1">
      <c r="A108" s="18" t="s">
        <v>7702</v>
      </c>
    </row>
    <row r="109" spans="1:1" ht="14.85" customHeight="1">
      <c r="A109" s="18" t="s">
        <v>7703</v>
      </c>
    </row>
    <row r="110" spans="1:1" ht="14.85" customHeight="1">
      <c r="A110" s="18" t="s">
        <v>7704</v>
      </c>
    </row>
    <row r="111" spans="1:1" ht="14.85" customHeight="1">
      <c r="A111" s="18" t="s">
        <v>7705</v>
      </c>
    </row>
    <row r="112" spans="1:1" ht="14.85" customHeight="1">
      <c r="A112" s="18" t="s">
        <v>7706</v>
      </c>
    </row>
    <row r="113" spans="1:1" ht="14.85" customHeight="1">
      <c r="A113" s="18" t="s">
        <v>7707</v>
      </c>
    </row>
    <row r="114" spans="1:1" ht="14.85" customHeight="1">
      <c r="A114" s="18" t="s">
        <v>7708</v>
      </c>
    </row>
    <row r="115" spans="1:1" ht="14.85" customHeight="1">
      <c r="A115" s="18" t="s">
        <v>7709</v>
      </c>
    </row>
    <row r="116" spans="1:1" ht="14.85" customHeight="1">
      <c r="A116" s="18" t="s">
        <v>7710</v>
      </c>
    </row>
    <row r="117" spans="1:1" ht="14.85" customHeight="1">
      <c r="A117" s="18" t="s">
        <v>7711</v>
      </c>
    </row>
    <row r="118" spans="1:1" ht="14.85" customHeight="1">
      <c r="A118" s="18" t="s">
        <v>7712</v>
      </c>
    </row>
    <row r="119" spans="1:1" ht="14.85" customHeight="1">
      <c r="A119" s="18" t="s">
        <v>7713</v>
      </c>
    </row>
    <row r="120" spans="1:1" ht="14.85" customHeight="1">
      <c r="A120" s="18" t="s">
        <v>7714</v>
      </c>
    </row>
    <row r="121" spans="1:1" ht="14.85" customHeight="1"/>
    <row r="122" spans="1:1" ht="14.85" customHeight="1">
      <c r="A122" s="18" t="s">
        <v>7715</v>
      </c>
    </row>
    <row r="123" spans="1:1" ht="14.85" customHeight="1">
      <c r="A123" s="18" t="s">
        <v>7716</v>
      </c>
    </row>
    <row r="124" spans="1:1" ht="14.85" customHeight="1">
      <c r="A124" s="18" t="s">
        <v>7717</v>
      </c>
    </row>
    <row r="125" spans="1:1" ht="14.85" customHeight="1">
      <c r="A125" s="18" t="s">
        <v>7718</v>
      </c>
    </row>
    <row r="126" spans="1:1" ht="14.85" customHeight="1">
      <c r="A126" s="18" t="s">
        <v>7719</v>
      </c>
    </row>
    <row r="127" spans="1:1" ht="14.85" customHeight="1">
      <c r="A127" s="18" t="s">
        <v>7720</v>
      </c>
    </row>
    <row r="128" spans="1:1" ht="14.85" customHeight="1">
      <c r="A128" s="18" t="s">
        <v>7721</v>
      </c>
    </row>
    <row r="129" spans="1:1" ht="14.85" customHeight="1">
      <c r="A129" s="18" t="s">
        <v>7722</v>
      </c>
    </row>
    <row r="130" spans="1:1" ht="14.85" customHeight="1">
      <c r="A130" s="18" t="s">
        <v>7723</v>
      </c>
    </row>
    <row r="131" spans="1:1" ht="14.85" customHeight="1">
      <c r="A131" s="18" t="s">
        <v>7724</v>
      </c>
    </row>
    <row r="132" spans="1:1" ht="14.85" customHeight="1">
      <c r="A132" s="18" t="s">
        <v>7725</v>
      </c>
    </row>
    <row r="133" spans="1:1" ht="14.85" customHeight="1">
      <c r="A133" s="18" t="s">
        <v>7726</v>
      </c>
    </row>
    <row r="134" spans="1:1" ht="14.85" customHeight="1">
      <c r="A134" s="18" t="s">
        <v>7727</v>
      </c>
    </row>
    <row r="135" spans="1:1" ht="14.85" customHeight="1">
      <c r="A135" s="18" t="s">
        <v>7728</v>
      </c>
    </row>
    <row r="136" spans="1:1" ht="14.85" customHeight="1">
      <c r="A136" s="18" t="s">
        <v>7729</v>
      </c>
    </row>
    <row r="137" spans="1:1" ht="14.85" customHeight="1">
      <c r="A137" s="18" t="s">
        <v>7730</v>
      </c>
    </row>
  </sheetData>
  <pageMargins left="0.78749999999999998" right="0.78749999999999998" top="1.0249999999999999" bottom="1.0249999999999999" header="0.78749999999999998" footer="0.78749999999999998"/>
  <pageSetup paperSize="9" orientation="portrait" horizontalDpi="300" verticalDpi="300"/>
  <headerFooter>
    <oddHeader>&amp;C&amp;"Arial,Regular"&amp;10&amp;Kffffff&amp;A</oddHeader>
    <oddFooter>&amp;C&amp;"Arial,Regular"&amp;10&amp;KffffffPage &amp;P</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B501A-DE3F-4765-AECB-44F5C9DDE5A0}">
  <dimension ref="A1"/>
  <sheetViews>
    <sheetView workbookViewId="0">
      <selection activeCell="K27" sqref="K27"/>
    </sheetView>
  </sheetViews>
  <sheetFormatPr defaultRowHeight="15"/>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C2FD8-D2A4-4954-84F8-E6083C3BD2E9}">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164438</TotalTime>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MAP</vt:lpstr>
      <vt:lpstr>0x6F Player Status</vt:lpstr>
      <vt:lpstr>Controller Inputs</vt:lpstr>
      <vt:lpstr>0x5A Dash Status</vt:lpstr>
      <vt:lpstr>P1 Model, Tex and Pal Data</vt:lpstr>
      <vt:lpstr>Menu Tiles</vt:lpstr>
      <vt:lpstr>Intro Cameras</vt:lpstr>
      <vt:lpstr>Menus</vt:lpstr>
      <vt:lpstr>Broad Action</vt:lpstr>
      <vt:lpstr>Sounds</vt:lpstr>
      <vt:lpstr>Current Match or Menu Type A416</vt:lpstr>
      <vt:lpstr>Wrestler ID</vt:lpstr>
      <vt:lpstr>Player Status</vt:lpstr>
      <vt:lpstr>KRS Match Types</vt:lpstr>
      <vt:lpstr>Weapon Graphics</vt:lpstr>
      <vt:lpstr>Post Match Comments</vt:lpstr>
      <vt:lpstr>English Text input</vt:lpstr>
      <vt:lpstr>Player Parameter Options</vt:lpstr>
      <vt:lpstr>Textures</vt:lpstr>
      <vt:lpstr>Move Links</vt:lpstr>
      <vt:lpstr>Current Menu</vt:lpstr>
      <vt:lpstr>Grapple Status Bitfield</vt:lpstr>
      <vt:lpstr>AI Actions</vt:lpstr>
      <vt:lpstr>Tag Cut Play Offset 72</vt:lpstr>
      <vt:lpstr>Match Settings</vt:lpstr>
      <vt:lpstr>Location and Status</vt:lpstr>
      <vt:lpstr>Toki1 Sound FX</vt:lpstr>
      <vt:lpstr>FX Sounds</vt:lpstr>
      <vt:lpstr>KRS Mode</vt:lpstr>
      <vt:lpstr>Toki2 first value</vt:lpstr>
      <vt:lpstr>Facepaint and Accessory</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Steven Thomson</cp:lastModifiedBy>
  <cp:revision>443</cp:revision>
  <dcterms:created xsi:type="dcterms:W3CDTF">2021-01-30T20:00:04Z</dcterms:created>
  <dcterms:modified xsi:type="dcterms:W3CDTF">2026-03-01T21:13:41Z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HyperlinksChanged">
    <vt:bool>false</vt:bool>
  </property>
  <property fmtid="{D5CDD505-2E9C-101B-9397-08002B2CF9AE}" pid="3" name="LinksUpToDate">
    <vt:bool>false</vt:bool>
  </property>
  <property fmtid="{D5CDD505-2E9C-101B-9397-08002B2CF9AE}" pid="4" name="ScaleCrop">
    <vt:bool>false</vt:bool>
  </property>
  <property fmtid="{D5CDD505-2E9C-101B-9397-08002B2CF9AE}" pid="5" name="ShareDoc">
    <vt:bool>false</vt:bool>
  </property>
</Properties>
</file>